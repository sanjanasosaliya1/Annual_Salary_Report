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ml.chartshap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ml.chartshapes+xml"/>
  <Override PartName="/xl/pivotTables/pivotTable4.xml" ContentType="application/vnd.openxmlformats-officedocument.spreadsheetml.pivotTable+xml"/>
  <Override PartName="/xl/drawings/drawing8.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5.xml" ContentType="application/vnd.openxmlformats-officedocument.spreadsheetml.pivotTable+xml"/>
  <Override PartName="/xl/drawings/drawing9.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C:\Users\DAIC\Documents\PPTs\dataAnaysis\Excelfiles\Dashboard Project\"/>
    </mc:Choice>
  </mc:AlternateContent>
  <bookViews>
    <workbookView xWindow="0" yWindow="0" windowWidth="19200" windowHeight="6470" activeTab="3"/>
  </bookViews>
  <sheets>
    <sheet name="Ethnicity" sheetId="2" r:id="rId1"/>
    <sheet name="Title" sheetId="3" r:id="rId2"/>
    <sheet name="department" sheetId="4" r:id="rId3"/>
    <sheet name="Visual" sheetId="7" r:id="rId4"/>
    <sheet name="Business unit" sheetId="5" r:id="rId5"/>
    <sheet name="Exit date" sheetId="6" r:id="rId6"/>
    <sheet name="Sheet1" sheetId="1" r:id="rId7"/>
  </sheets>
  <definedNames>
    <definedName name="Slicer_City">#N/A</definedName>
    <definedName name="Slicer_Gender">#N/A</definedName>
  </definedNames>
  <calcPr calcId="124519"/>
  <pivotCaches>
    <pivotCache cacheId="0" r:id="rId8"/>
  </pivotCaches>
  <extLst>
    <ext xmlns:x14="http://schemas.microsoft.com/office/spreadsheetml/2009/9/main" uri="{BBE1A952-AA13-448e-AADC-164F8A28A991}">
      <x14:slicerCaches>
        <x14:slicerCache r:id="rId9"/>
        <x14:slicerCache r:id="rId10"/>
      </x14:slicerCaches>
    </ext>
    <ext xmlns:x14="http://schemas.microsoft.com/office/spreadsheetml/2009/9/main" uri="{79F54976-1DA5-4618-B147-4CDE4B953A38}">
      <x14:workbookPr/>
    </ext>
  </extLst>
</workbook>
</file>

<file path=xl/sharedStrings.xml><?xml version="1.0" encoding="utf-8"?>
<sst xmlns="http://schemas.openxmlformats.org/spreadsheetml/2006/main" count="438" uniqueCount="104">
  <si>
    <t>EmpID</t>
  </si>
  <si>
    <t>FullName</t>
  </si>
  <si>
    <t>JobTitle</t>
  </si>
  <si>
    <t>Department</t>
  </si>
  <si>
    <t>Business Unit</t>
  </si>
  <si>
    <t>Gender</t>
  </si>
  <si>
    <t>Ethnicity</t>
  </si>
  <si>
    <t>Age</t>
  </si>
  <si>
    <t>HireDate</t>
  </si>
  <si>
    <t>Annual Salary</t>
  </si>
  <si>
    <t>City</t>
  </si>
  <si>
    <t>ExitDate</t>
  </si>
  <si>
    <t>Jennifer Green</t>
  </si>
  <si>
    <t>Dr. Ronald Faulkner</t>
  </si>
  <si>
    <t>Susan Wagner</t>
  </si>
  <si>
    <t>Brandon Lloyd</t>
  </si>
  <si>
    <t>Dr. Stephanie Collins</t>
  </si>
  <si>
    <t>Samuel Rivera</t>
  </si>
  <si>
    <t>Eugene Bowman</t>
  </si>
  <si>
    <t>Karen Grimes</t>
  </si>
  <si>
    <t>Thomas Moon</t>
  </si>
  <si>
    <t>Jennifer Summers</t>
  </si>
  <si>
    <t>Lisa Clayton</t>
  </si>
  <si>
    <t>Michele Brown</t>
  </si>
  <si>
    <t>Robert Thomas</t>
  </si>
  <si>
    <t>Bobby Flores</t>
  </si>
  <si>
    <t>Mrs. Elizabeth Carter MD</t>
  </si>
  <si>
    <t>Kimberly Maynard</t>
  </si>
  <si>
    <t>Donna Davis</t>
  </si>
  <si>
    <t>Kenneth Roberts</t>
  </si>
  <si>
    <t>Amanda Zavala</t>
  </si>
  <si>
    <t>Brandon Todd</t>
  </si>
  <si>
    <t>Stephanie Leblanc</t>
  </si>
  <si>
    <t>Sara Warren</t>
  </si>
  <si>
    <t>Sarah Jacobson</t>
  </si>
  <si>
    <t>Jennifer Hill</t>
  </si>
  <si>
    <t>Whitney Stark</t>
  </si>
  <si>
    <t>Frederick Wilson</t>
  </si>
  <si>
    <t>Sarah Sanchez</t>
  </si>
  <si>
    <t>Daniel Norton</t>
  </si>
  <si>
    <t>Antonio Logan</t>
  </si>
  <si>
    <t>Robert Walters</t>
  </si>
  <si>
    <t>Alyssa Reid</t>
  </si>
  <si>
    <t>Barbara Davis</t>
  </si>
  <si>
    <t>Chloe Arellano</t>
  </si>
  <si>
    <t>Daniel Owen</t>
  </si>
  <si>
    <t>Jeffery Garcia</t>
  </si>
  <si>
    <t>Matthew Bell</t>
  </si>
  <si>
    <t>John Carlson</t>
  </si>
  <si>
    <t>Ian Dennis</t>
  </si>
  <si>
    <t>Michael Levy</t>
  </si>
  <si>
    <t>Brooke Martin</t>
  </si>
  <si>
    <t>Kyle Ramos</t>
  </si>
  <si>
    <t>Michael Mccullough</t>
  </si>
  <si>
    <t>Mariah Price</t>
  </si>
  <si>
    <t>Justin Smith</t>
  </si>
  <si>
    <t>Patrick Stephens</t>
  </si>
  <si>
    <t>Troy Bell</t>
  </si>
  <si>
    <t>Leslie Mcclain</t>
  </si>
  <si>
    <t>Eric Goodman</t>
  </si>
  <si>
    <t>Kristopher Hale</t>
  </si>
  <si>
    <t>Mark Gray</t>
  </si>
  <si>
    <t>Jennifer Morales</t>
  </si>
  <si>
    <t>Patricia Fletcher</t>
  </si>
  <si>
    <t>David Moore</t>
  </si>
  <si>
    <t>Lindsey Smith</t>
  </si>
  <si>
    <t>Ryan Williams</t>
  </si>
  <si>
    <t>Developer</t>
  </si>
  <si>
    <t>Engineer</t>
  </si>
  <si>
    <t>Analyst</t>
  </si>
  <si>
    <t>Consultant</t>
  </si>
  <si>
    <t>Manager</t>
  </si>
  <si>
    <t>HR</t>
  </si>
  <si>
    <t>Sales</t>
  </si>
  <si>
    <t>IT</t>
  </si>
  <si>
    <t>Finance</t>
  </si>
  <si>
    <t>Marketing</t>
  </si>
  <si>
    <t>Unit B</t>
  </si>
  <si>
    <t>Unit A</t>
  </si>
  <si>
    <t>Unit C</t>
  </si>
  <si>
    <t>Other</t>
  </si>
  <si>
    <t>Female</t>
  </si>
  <si>
    <t>Male</t>
  </si>
  <si>
    <t>Hispanic</t>
  </si>
  <si>
    <t>Black</t>
  </si>
  <si>
    <t>White</t>
  </si>
  <si>
    <t>Asian</t>
  </si>
  <si>
    <t>London</t>
  </si>
  <si>
    <t>Sydney</t>
  </si>
  <si>
    <t>New York</t>
  </si>
  <si>
    <t>Mumbai</t>
  </si>
  <si>
    <t>Berlin</t>
  </si>
  <si>
    <t>Row Labels</t>
  </si>
  <si>
    <t>Grand Total</t>
  </si>
  <si>
    <t>Average of Annual Salary</t>
  </si>
  <si>
    <t>&lt;22-12-2012</t>
  </si>
  <si>
    <t>2013</t>
  </si>
  <si>
    <t>2023</t>
  </si>
  <si>
    <t>Annual Salary Report</t>
  </si>
  <si>
    <t>2020</t>
  </si>
  <si>
    <t>2012</t>
  </si>
  <si>
    <t>2015</t>
  </si>
  <si>
    <t>2019</t>
  </si>
  <si>
    <t>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</si>
</sst>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yyyy\-mm\-dd"/>
  </numFmts>
  <fonts count="3" x14ac:knownFonts="1">
    <font>
      <sz val="11"/>
      <color theme="1"/>
      <name val="Calibri"/>
      <family val="2"/>
      <scheme val="minor"/>
    </font>
    <font>
      <b/>
      <sz val="11"/>
      <color theme="1"/>
      <name val="Calibri"/>
      <family val="2"/>
      <scheme val="minor"/>
    </font>
    <font>
      <b/>
      <sz val="26"/>
      <color theme="1"/>
      <name val="Calibri"/>
      <family val="2"/>
      <scheme val="minor"/>
    </font>
  </fonts>
  <fills count="3">
    <fill>
      <patternFill patternType="none"/>
    </fill>
    <fill>
      <patternFill patternType="gray125"/>
    </fill>
    <fill>
      <patternFill patternType="solid">
        <fgColor theme="6" tint="0.7999816888943144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8">
    <xf numFmtId="0" fontId="0" fillId="0" borderId="0" xfId="0"/>
    <xf numFmtId="0" fontId="1" fillId="0" borderId="1" xfId="0" applyFont="1" applyBorder="1" applyAlignment="1">
      <alignment horizontal="center" vertical="top"/>
    </xf>
    <xf numFmtId="164" fontId="0" fillId="0" borderId="0" xfId="0" applyNumberFormat="1"/>
    <xf numFmtId="0" fontId="0" fillId="0" borderId="0" xfId="0" pivotButton="1"/>
    <xf numFmtId="0" fontId="0" fillId="0" borderId="0" xfId="0" applyAlignment="1">
      <alignment horizontal="left"/>
    </xf>
    <xf numFmtId="0" fontId="0" fillId="0" borderId="0" xfId="0" applyNumberFormat="1"/>
    <xf numFmtId="0" fontId="0" fillId="2" borderId="0" xfId="0" applyFill="1"/>
    <xf numFmtId="0" fontId="2" fillId="2" borderId="0" xfId="0" applyFont="1" applyFill="1" applyAlignment="1">
      <alignment horizontal="center"/>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[Dashboard Project beginner.xlsm]Ethnicity!PivotTable1</c:name>
    <c:fmtId val="4"/>
  </c:pivotSource>
  <c:chart>
    <c:title>
      <c:tx>
        <c:rich>
          <a:bodyPr rot="0" spcFirstLastPara="1" vertOverflow="ellipsis" vert="horz" wrap="square" anchor="ctr" anchorCtr="1"/>
          <a:lstStyle/>
          <a:p>
            <a:pPr>
              <a:defRPr sz="1600" b="1" i="0" u="none" strike="noStrike" kern="1200" spc="100" baseline="0">
                <a:solidFill>
                  <a:sysClr val="windowText" lastClr="000000"/>
                </a:solidFill>
                <a:effectLst>
                  <a:outerShdw blurRad="50800" dist="38100" dir="5400000" algn="t" rotWithShape="0">
                    <a:prstClr val="black">
                      <a:alpha val="40000"/>
                    </a:prstClr>
                  </a:outerShdw>
                </a:effectLst>
                <a:latin typeface="+mn-lt"/>
                <a:ea typeface="+mn-ea"/>
                <a:cs typeface="+mn-cs"/>
              </a:defRPr>
            </a:pPr>
            <a:r>
              <a:rPr lang="en-US" sz="1400" b="0" i="0" kern="1200" spc="0" baseline="0">
                <a:effectLst/>
              </a:rPr>
              <a:t>Average Annuual Salary Based on Ethnicity</a:t>
            </a:r>
            <a:endParaRPr lang="en-US" sz="1400" kern="1200" spc="0" baseline="0">
              <a:effectLst/>
            </a:endParaRPr>
          </a:p>
        </c:rich>
      </c:tx>
      <c:overlay val="0"/>
      <c:spPr>
        <a:noFill/>
        <a:ln>
          <a:noFill/>
        </a:ln>
        <a:effectLst/>
      </c:spPr>
      <c:txPr>
        <a:bodyPr rot="0" spcFirstLastPara="1" vertOverflow="ellipsis" vert="horz" wrap="square" anchor="ctr" anchorCtr="1"/>
        <a:lstStyle/>
        <a:p>
          <a:pPr>
            <a:defRPr sz="1600" b="1" i="0" u="none" strike="noStrike" kern="1200" spc="100" baseline="0">
              <a:solidFill>
                <a:sysClr val="windowText" lastClr="000000"/>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s>
    <c:plotArea>
      <c:layout/>
      <c:barChart>
        <c:barDir val="col"/>
        <c:grouping val="clustered"/>
        <c:varyColors val="0"/>
        <c:ser>
          <c:idx val="0"/>
          <c:order val="0"/>
          <c:tx>
            <c:strRef>
              <c:f>Ethnicity!$B$3</c:f>
              <c:strCache>
                <c:ptCount val="1"/>
                <c:pt idx="0">
                  <c:v>Total</c:v>
                </c:pt>
              </c:strCache>
            </c:strRef>
          </c:tx>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Ethnicity!$A$4:$A$9</c:f>
              <c:strCache>
                <c:ptCount val="5"/>
                <c:pt idx="0">
                  <c:v>Asian</c:v>
                </c:pt>
                <c:pt idx="1">
                  <c:v>Black</c:v>
                </c:pt>
                <c:pt idx="2">
                  <c:v>Hispanic</c:v>
                </c:pt>
                <c:pt idx="3">
                  <c:v>Other</c:v>
                </c:pt>
                <c:pt idx="4">
                  <c:v>White</c:v>
                </c:pt>
              </c:strCache>
            </c:strRef>
          </c:cat>
          <c:val>
            <c:numRef>
              <c:f>Ethnicity!$B$4:$B$9</c:f>
              <c:numCache>
                <c:formatCode>General</c:formatCode>
                <c:ptCount val="5"/>
                <c:pt idx="0">
                  <c:v>60092.12</c:v>
                </c:pt>
                <c:pt idx="1">
                  <c:v>119082.28</c:v>
                </c:pt>
                <c:pt idx="2">
                  <c:v>117899.23499999999</c:v>
                </c:pt>
                <c:pt idx="3">
                  <c:v>133590.26999999999</c:v>
                </c:pt>
                <c:pt idx="4">
                  <c:v>130064.54</c:v>
                </c:pt>
              </c:numCache>
            </c:numRef>
          </c:val>
          <c:extLst>
            <c:ext xmlns:c16="http://schemas.microsoft.com/office/drawing/2014/chart" uri="{C3380CC4-5D6E-409C-BE32-E72D297353CC}">
              <c16:uniqueId val="{00000000-B8BD-44C4-846C-DDE33ABBCEEA}"/>
            </c:ext>
          </c:extLst>
        </c:ser>
        <c:dLbls>
          <c:showLegendKey val="0"/>
          <c:showVal val="0"/>
          <c:showCatName val="0"/>
          <c:showSerName val="0"/>
          <c:showPercent val="0"/>
          <c:showBubbleSize val="0"/>
        </c:dLbls>
        <c:gapWidth val="100"/>
        <c:overlap val="-24"/>
        <c:axId val="49115600"/>
        <c:axId val="49109776"/>
      </c:barChart>
      <c:catAx>
        <c:axId val="4911560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49109776"/>
        <c:crosses val="autoZero"/>
        <c:auto val="1"/>
        <c:lblAlgn val="ctr"/>
        <c:lblOffset val="100"/>
        <c:noMultiLvlLbl val="0"/>
      </c:catAx>
      <c:valAx>
        <c:axId val="49109776"/>
        <c:scaling>
          <c:orientation val="minMax"/>
        </c:scaling>
        <c:delete val="1"/>
        <c:axPos val="l"/>
        <c:numFmt formatCode="General" sourceLinked="1"/>
        <c:majorTickMark val="none"/>
        <c:minorTickMark val="none"/>
        <c:tickLblPos val="nextTo"/>
        <c:crossAx val="49115600"/>
        <c:crosses val="autoZero"/>
        <c:crossBetween val="between"/>
      </c:valAx>
      <c:spPr>
        <a:noFill/>
        <a:ln>
          <a:noFill/>
        </a:ln>
        <a:effectLst/>
      </c:spPr>
    </c:plotArea>
    <c:plotVisOnly val="1"/>
    <c:dispBlanksAs val="gap"/>
    <c:showDLblsOverMax val="0"/>
  </c:chart>
  <c:spPr>
    <a:solidFill>
      <a:schemeClr val="bg1"/>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[Dashboard Project beginner.xlsm]Title!PivotTable2</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a:t>
            </a:r>
            <a:r>
              <a:rPr lang="en-US" baseline="0"/>
              <a:t> Annuual Salary Based on Job Title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3"/>
          </a:solidFill>
          <a:ln w="28575" cap="rnd">
            <a:solidFill>
              <a:schemeClr val="accent3"/>
            </a:solidFill>
            <a:round/>
          </a:ln>
          <a:effectLst/>
        </c:spPr>
        <c:marker>
          <c:symbol val="none"/>
        </c:marker>
      </c:pivotFmt>
      <c:pivotFmt>
        <c:idx val="1"/>
        <c:spPr>
          <a:ln w="28575" cap="rnd">
            <a:solidFill>
              <a:schemeClr val="accent3"/>
            </a:solidFill>
            <a:round/>
          </a:ln>
          <a:effectLst/>
        </c:spPr>
        <c:marker>
          <c:symbol val="none"/>
        </c:marker>
      </c:pivotFmt>
    </c:pivotFmts>
    <c:plotArea>
      <c:layout/>
      <c:lineChart>
        <c:grouping val="standard"/>
        <c:varyColors val="0"/>
        <c:ser>
          <c:idx val="0"/>
          <c:order val="0"/>
          <c:tx>
            <c:strRef>
              <c:f>Title!$B$3</c:f>
              <c:strCache>
                <c:ptCount val="1"/>
                <c:pt idx="0">
                  <c:v>Total</c:v>
                </c:pt>
              </c:strCache>
            </c:strRef>
          </c:tx>
          <c:spPr>
            <a:ln w="28575" cap="rnd">
              <a:solidFill>
                <a:schemeClr val="accent3"/>
              </a:solidFill>
              <a:round/>
            </a:ln>
            <a:effectLst/>
          </c:spPr>
          <c:marker>
            <c:symbol val="none"/>
          </c:marker>
          <c:cat>
            <c:strRef>
              <c:f>Title!$A$4:$A$8</c:f>
              <c:strCache>
                <c:ptCount val="4"/>
                <c:pt idx="0">
                  <c:v>Analyst</c:v>
                </c:pt>
                <c:pt idx="1">
                  <c:v>Developer</c:v>
                </c:pt>
                <c:pt idx="2">
                  <c:v>Engineer</c:v>
                </c:pt>
                <c:pt idx="3">
                  <c:v>Manager</c:v>
                </c:pt>
              </c:strCache>
            </c:strRef>
          </c:cat>
          <c:val>
            <c:numRef>
              <c:f>Title!$B$4:$B$8</c:f>
              <c:numCache>
                <c:formatCode>General</c:formatCode>
                <c:ptCount val="4"/>
                <c:pt idx="0">
                  <c:v>119082.28</c:v>
                </c:pt>
                <c:pt idx="1">
                  <c:v>136135.99</c:v>
                </c:pt>
                <c:pt idx="2">
                  <c:v>79877.3</c:v>
                </c:pt>
                <c:pt idx="3">
                  <c:v>131827.405</c:v>
                </c:pt>
              </c:numCache>
            </c:numRef>
          </c:val>
          <c:smooth val="0"/>
          <c:extLst>
            <c:ext xmlns:c16="http://schemas.microsoft.com/office/drawing/2014/chart" uri="{C3380CC4-5D6E-409C-BE32-E72D297353CC}">
              <c16:uniqueId val="{00000000-3DD1-4544-B5D8-85B181AD2274}"/>
            </c:ext>
          </c:extLst>
        </c:ser>
        <c:dLbls>
          <c:showLegendKey val="0"/>
          <c:showVal val="0"/>
          <c:showCatName val="0"/>
          <c:showSerName val="0"/>
          <c:showPercent val="0"/>
          <c:showBubbleSize val="0"/>
        </c:dLbls>
        <c:smooth val="0"/>
        <c:axId val="53872416"/>
        <c:axId val="53872000"/>
      </c:lineChart>
      <c:catAx>
        <c:axId val="53872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53872000"/>
        <c:crosses val="autoZero"/>
        <c:auto val="1"/>
        <c:lblAlgn val="ctr"/>
        <c:lblOffset val="100"/>
        <c:noMultiLvlLbl val="0"/>
      </c:catAx>
      <c:valAx>
        <c:axId val="53872000"/>
        <c:scaling>
          <c:orientation val="minMax"/>
        </c:scaling>
        <c:delete val="1"/>
        <c:axPos val="l"/>
        <c:numFmt formatCode="General" sourceLinked="1"/>
        <c:majorTickMark val="none"/>
        <c:minorTickMark val="none"/>
        <c:tickLblPos val="nextTo"/>
        <c:crossAx val="538724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[Dashboard Project beginner.xlsm]department!PivotTable3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tx1"/>
                </a:solidFill>
              </a:rPr>
              <a:t>Average Annual Salary</a:t>
            </a:r>
            <a:r>
              <a:rPr lang="en-US" baseline="0">
                <a:solidFill>
                  <a:schemeClr val="tx1"/>
                </a:solidFill>
              </a:rPr>
              <a:t> Based on Department</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3"/>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3"/>
          </a:solidFill>
          <a:ln w="25400">
            <a:solidFill>
              <a:schemeClr val="lt1"/>
            </a:solidFill>
          </a:ln>
          <a:effectLst/>
          <a:sp3d contourW="25400">
            <a:contourClr>
              <a:schemeClr val="lt1"/>
            </a:contourClr>
          </a:sp3d>
        </c:spPr>
        <c:marker>
          <c:symbol val="none"/>
        </c:marker>
      </c:pivotFmt>
      <c:pivotFmt>
        <c:idx val="2"/>
        <c:spPr>
          <a:solidFill>
            <a:schemeClr val="accent3">
              <a:shade val="76000"/>
            </a:schemeClr>
          </a:solidFill>
          <a:ln w="25400">
            <a:solidFill>
              <a:schemeClr val="lt1"/>
            </a:solidFill>
          </a:ln>
          <a:effectLst/>
          <a:sp3d contourW="25400">
            <a:contourClr>
              <a:schemeClr val="lt1"/>
            </a:contourClr>
          </a:sp3d>
        </c:spPr>
      </c:pivotFmt>
      <c:pivotFmt>
        <c:idx val="3"/>
        <c:spPr>
          <a:solidFill>
            <a:schemeClr val="accent3"/>
          </a:solidFill>
          <a:ln w="25400">
            <a:solidFill>
              <a:schemeClr val="lt1"/>
            </a:solidFill>
          </a:ln>
          <a:effectLst/>
          <a:sp3d contourW="25400">
            <a:contourClr>
              <a:schemeClr val="lt1"/>
            </a:contourClr>
          </a:sp3d>
        </c:spPr>
      </c:pivotFmt>
      <c:pivotFmt>
        <c:idx val="4"/>
        <c:spPr>
          <a:solidFill>
            <a:schemeClr val="accent3">
              <a:tint val="77000"/>
            </a:schemeClr>
          </a:solidFill>
          <a:ln w="25400">
            <a:solidFill>
              <a:schemeClr val="lt1"/>
            </a:solidFill>
          </a:ln>
          <a:effectLst/>
          <a:sp3d contourW="25400">
            <a:contourClr>
              <a:schemeClr val="lt1"/>
            </a:contourClr>
          </a:sp3d>
        </c:spPr>
      </c:pivotFmt>
      <c:pivotFmt>
        <c:idx val="5"/>
        <c:spPr>
          <a:solidFill>
            <a:schemeClr val="accent3">
              <a:tint val="30000"/>
            </a:schemeClr>
          </a:solidFill>
          <a:ln w="25400">
            <a:solidFill>
              <a:schemeClr val="lt1"/>
            </a:solidFill>
          </a:ln>
          <a:effectLst/>
          <a:sp3d contourW="25400">
            <a:contourClr>
              <a:schemeClr val="lt1"/>
            </a:contourClr>
          </a:sp3d>
        </c:spPr>
      </c:pivotFmt>
      <c:pivotFmt>
        <c:idx val="6"/>
        <c:spPr>
          <a:solidFill>
            <a:schemeClr val="accent3">
              <a:tint val="95000"/>
            </a:schemeClr>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department!$B$3</c:f>
              <c:strCache>
                <c:ptCount val="1"/>
                <c:pt idx="0">
                  <c:v>Total</c:v>
                </c:pt>
              </c:strCache>
            </c:strRef>
          </c:tx>
          <c:dPt>
            <c:idx val="0"/>
            <c:bubble3D val="0"/>
            <c:spPr>
              <a:solidFill>
                <a:schemeClr val="accent3">
                  <a:shade val="76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1-2FCE-4856-8DDE-3375E87FEF3E}"/>
              </c:ext>
            </c:extLst>
          </c:dPt>
          <c:dPt>
            <c:idx val="1"/>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3-2FCE-4856-8DDE-3375E87FEF3E}"/>
              </c:ext>
            </c:extLst>
          </c:dPt>
          <c:dPt>
            <c:idx val="2"/>
            <c:bubble3D val="0"/>
            <c:spPr>
              <a:solidFill>
                <a:schemeClr val="accent3">
                  <a:tint val="77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5-2FCE-4856-8DDE-3375E87FEF3E}"/>
              </c:ext>
            </c:extLst>
          </c:dPt>
          <c:dPt>
            <c:idx val="3"/>
            <c:bubble3D val="0"/>
            <c:spPr>
              <a:solidFill>
                <a:schemeClr val="accent3">
                  <a:tint val="3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7-2FCE-4856-8DDE-3375E87FEF3E}"/>
              </c:ext>
            </c:extLst>
          </c:dPt>
          <c:dPt>
            <c:idx val="4"/>
            <c:bubble3D val="0"/>
            <c:spPr>
              <a:solidFill>
                <a:schemeClr val="accent3">
                  <a:tint val="95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9-2FCE-4856-8DDE-3375E87FEF3E}"/>
              </c:ext>
            </c:extLst>
          </c:dPt>
          <c:dLbls>
            <c:delete val="1"/>
          </c:dLbls>
          <c:cat>
            <c:strRef>
              <c:f>department!$A$4:$A$9</c:f>
              <c:strCache>
                <c:ptCount val="5"/>
                <c:pt idx="0">
                  <c:v>Finance</c:v>
                </c:pt>
                <c:pt idx="1">
                  <c:v>HR</c:v>
                </c:pt>
                <c:pt idx="2">
                  <c:v>IT</c:v>
                </c:pt>
                <c:pt idx="3">
                  <c:v>Marketing</c:v>
                </c:pt>
                <c:pt idx="4">
                  <c:v>Sales</c:v>
                </c:pt>
              </c:strCache>
            </c:strRef>
          </c:cat>
          <c:val>
            <c:numRef>
              <c:f>department!$B$4:$B$9</c:f>
              <c:numCache>
                <c:formatCode>General</c:formatCode>
                <c:ptCount val="5"/>
                <c:pt idx="0">
                  <c:v>119569.16625000001</c:v>
                </c:pt>
                <c:pt idx="1">
                  <c:v>98394.070526315802</c:v>
                </c:pt>
                <c:pt idx="2">
                  <c:v>84151.041428571436</c:v>
                </c:pt>
                <c:pt idx="3">
                  <c:v>106388.37636363637</c:v>
                </c:pt>
                <c:pt idx="4">
                  <c:v>105925.12</c:v>
                </c:pt>
              </c:numCache>
            </c:numRef>
          </c:val>
          <c:extLst>
            <c:ext xmlns:c16="http://schemas.microsoft.com/office/drawing/2014/chart" uri="{C3380CC4-5D6E-409C-BE32-E72D297353CC}">
              <c16:uniqueId val="{00000000-BA9A-45CF-9D8E-1DFF352A44C6}"/>
            </c:ext>
          </c:extLst>
        </c:ser>
        <c:dLbls>
          <c:dLblPos val="inEnd"/>
          <c:showLegendKey val="0"/>
          <c:showVal val="1"/>
          <c:showCatName val="0"/>
          <c:showSerName val="0"/>
          <c:showPercent val="0"/>
          <c:showBubbleSize val="0"/>
          <c:showLeaderLines val="1"/>
        </c:dLbls>
      </c:pie3D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[Dashboard Project beginner.xlsm]Ethnicity!PivotTable1</c:name>
    <c:fmtId val="6"/>
  </c:pivotSource>
  <c:chart>
    <c:title>
      <c:tx>
        <c:rich>
          <a:bodyPr rot="0" spcFirstLastPara="1" vertOverflow="ellipsis" vert="horz" wrap="square" anchor="ctr" anchorCtr="1"/>
          <a:lstStyle/>
          <a:p>
            <a:pPr>
              <a:defRPr sz="1600" b="1" i="0" u="none" strike="noStrike" kern="1200" spc="0" baseline="0">
                <a:solidFill>
                  <a:sysClr val="windowText" lastClr="000000"/>
                </a:solidFill>
                <a:effectLst>
                  <a:outerShdw blurRad="50800" dist="38100" dir="5400000" algn="t" rotWithShape="0">
                    <a:prstClr val="black">
                      <a:alpha val="40000"/>
                    </a:prstClr>
                  </a:outerShdw>
                </a:effectLst>
                <a:latin typeface="+mn-lt"/>
                <a:ea typeface="+mn-ea"/>
                <a:cs typeface="+mn-cs"/>
              </a:defRPr>
            </a:pPr>
            <a:r>
              <a:rPr lang="en-US" sz="1400" b="0" i="0" spc="0" baseline="0">
                <a:effectLst/>
                <a:latin typeface="+mn-lt"/>
                <a:cs typeface="Arial" panose="020B0604020202020204" pitchFamily="34" charset="0"/>
              </a:rPr>
              <a:t>Average Annuual Salary Based on Ethnicity</a:t>
            </a:r>
            <a:endParaRPr lang="en-US" sz="1400" spc="0" baseline="0">
              <a:effectLst/>
              <a:latin typeface="+mn-lt"/>
              <a:cs typeface="Arial" panose="020B0604020202020204" pitchFamily="34" charset="0"/>
            </a:endParaRPr>
          </a:p>
        </c:rich>
      </c:tx>
      <c:layout/>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2"/>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s>
    <c:plotArea>
      <c:layout/>
      <c:barChart>
        <c:barDir val="col"/>
        <c:grouping val="clustered"/>
        <c:varyColors val="0"/>
        <c:ser>
          <c:idx val="0"/>
          <c:order val="0"/>
          <c:tx>
            <c:strRef>
              <c:f>Ethnicity!$B$3</c:f>
              <c:strCache>
                <c:ptCount val="1"/>
                <c:pt idx="0">
                  <c:v>Total</c:v>
                </c:pt>
              </c:strCache>
            </c:strRef>
          </c:tx>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Ethnicity!$A$4:$A$9</c:f>
              <c:strCache>
                <c:ptCount val="5"/>
                <c:pt idx="0">
                  <c:v>Asian</c:v>
                </c:pt>
                <c:pt idx="1">
                  <c:v>Black</c:v>
                </c:pt>
                <c:pt idx="2">
                  <c:v>Hispanic</c:v>
                </c:pt>
                <c:pt idx="3">
                  <c:v>Other</c:v>
                </c:pt>
                <c:pt idx="4">
                  <c:v>White</c:v>
                </c:pt>
              </c:strCache>
            </c:strRef>
          </c:cat>
          <c:val>
            <c:numRef>
              <c:f>Ethnicity!$B$4:$B$9</c:f>
              <c:numCache>
                <c:formatCode>General</c:formatCode>
                <c:ptCount val="5"/>
                <c:pt idx="0">
                  <c:v>60092.12</c:v>
                </c:pt>
                <c:pt idx="1">
                  <c:v>119082.28</c:v>
                </c:pt>
                <c:pt idx="2">
                  <c:v>117899.23499999999</c:v>
                </c:pt>
                <c:pt idx="3">
                  <c:v>133590.26999999999</c:v>
                </c:pt>
                <c:pt idx="4">
                  <c:v>130064.54</c:v>
                </c:pt>
              </c:numCache>
            </c:numRef>
          </c:val>
          <c:extLst>
            <c:ext xmlns:c16="http://schemas.microsoft.com/office/drawing/2014/chart" uri="{C3380CC4-5D6E-409C-BE32-E72D297353CC}">
              <c16:uniqueId val="{00000000-96B4-4BE7-AD68-39DCB661E803}"/>
            </c:ext>
          </c:extLst>
        </c:ser>
        <c:dLbls>
          <c:showLegendKey val="0"/>
          <c:showVal val="0"/>
          <c:showCatName val="0"/>
          <c:showSerName val="0"/>
          <c:showPercent val="0"/>
          <c:showBubbleSize val="0"/>
        </c:dLbls>
        <c:gapWidth val="100"/>
        <c:overlap val="-24"/>
        <c:axId val="49115600"/>
        <c:axId val="49109776"/>
      </c:barChart>
      <c:catAx>
        <c:axId val="4911560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49109776"/>
        <c:crosses val="autoZero"/>
        <c:auto val="1"/>
        <c:lblAlgn val="ctr"/>
        <c:lblOffset val="100"/>
        <c:noMultiLvlLbl val="0"/>
      </c:catAx>
      <c:valAx>
        <c:axId val="49109776"/>
        <c:scaling>
          <c:orientation val="minMax"/>
        </c:scaling>
        <c:delete val="1"/>
        <c:axPos val="l"/>
        <c:numFmt formatCode="General" sourceLinked="1"/>
        <c:majorTickMark val="none"/>
        <c:minorTickMark val="none"/>
        <c:tickLblPos val="nextTo"/>
        <c:crossAx val="49115600"/>
        <c:crosses val="autoZero"/>
        <c:crossBetween val="between"/>
      </c:valAx>
      <c:spPr>
        <a:noFill/>
        <a:ln>
          <a:noFill/>
        </a:ln>
        <a:effectLst/>
      </c:spPr>
    </c:plotArea>
    <c:plotVisOnly val="1"/>
    <c:dispBlanksAs val="gap"/>
    <c:showDLblsOverMax val="0"/>
  </c:chart>
  <c:spPr>
    <a:solidFill>
      <a:schemeClr val="bg1"/>
    </a:solidFill>
    <a:ln>
      <a:noFill/>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[Dashboard Project beginner.xlsm]Title!PivotTable2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tx1"/>
                </a:solidFill>
              </a:rPr>
              <a:t>Average</a:t>
            </a:r>
            <a:r>
              <a:rPr lang="en-US" baseline="0">
                <a:solidFill>
                  <a:schemeClr val="tx1"/>
                </a:solidFill>
              </a:rPr>
              <a:t> Annuual Salary Based on Job Title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3"/>
          </a:solidFill>
          <a:ln w="28575" cap="rnd">
            <a:solidFill>
              <a:schemeClr val="accent3"/>
            </a:solidFill>
            <a:round/>
          </a:ln>
          <a:effectLst/>
        </c:spPr>
        <c:marker>
          <c:symbol val="none"/>
        </c:marker>
      </c:pivotFmt>
      <c:pivotFmt>
        <c:idx val="1"/>
        <c:spPr>
          <a:solidFill>
            <a:schemeClr val="accent3"/>
          </a:solidFill>
          <a:ln w="28575" cap="rnd">
            <a:solidFill>
              <a:schemeClr val="accent3"/>
            </a:solidFill>
            <a:round/>
          </a:ln>
          <a:effectLst/>
        </c:spPr>
        <c:marker>
          <c:symbol val="none"/>
        </c:marker>
      </c:pivotFmt>
      <c:pivotFmt>
        <c:idx val="2"/>
        <c:spPr>
          <a:ln w="28575" cap="rnd">
            <a:solidFill>
              <a:schemeClr val="accent3"/>
            </a:solidFill>
            <a:round/>
          </a:ln>
          <a:effectLst/>
        </c:spPr>
        <c:marker>
          <c:symbol val="none"/>
        </c:marker>
      </c:pivotFmt>
    </c:pivotFmts>
    <c:plotArea>
      <c:layout/>
      <c:lineChart>
        <c:grouping val="standard"/>
        <c:varyColors val="0"/>
        <c:ser>
          <c:idx val="0"/>
          <c:order val="0"/>
          <c:tx>
            <c:strRef>
              <c:f>Title!$B$3</c:f>
              <c:strCache>
                <c:ptCount val="1"/>
                <c:pt idx="0">
                  <c:v>Total</c:v>
                </c:pt>
              </c:strCache>
            </c:strRef>
          </c:tx>
          <c:spPr>
            <a:ln w="28575" cap="rnd">
              <a:solidFill>
                <a:schemeClr val="accent3"/>
              </a:solidFill>
              <a:round/>
            </a:ln>
            <a:effectLst/>
          </c:spPr>
          <c:marker>
            <c:symbol val="none"/>
          </c:marker>
          <c:cat>
            <c:strRef>
              <c:f>Title!$A$4:$A$8</c:f>
              <c:strCache>
                <c:ptCount val="4"/>
                <c:pt idx="0">
                  <c:v>Analyst</c:v>
                </c:pt>
                <c:pt idx="1">
                  <c:v>Developer</c:v>
                </c:pt>
                <c:pt idx="2">
                  <c:v>Engineer</c:v>
                </c:pt>
                <c:pt idx="3">
                  <c:v>Manager</c:v>
                </c:pt>
              </c:strCache>
            </c:strRef>
          </c:cat>
          <c:val>
            <c:numRef>
              <c:f>Title!$B$4:$B$8</c:f>
              <c:numCache>
                <c:formatCode>General</c:formatCode>
                <c:ptCount val="4"/>
                <c:pt idx="0">
                  <c:v>119082.28</c:v>
                </c:pt>
                <c:pt idx="1">
                  <c:v>136135.99</c:v>
                </c:pt>
                <c:pt idx="2">
                  <c:v>79877.3</c:v>
                </c:pt>
                <c:pt idx="3">
                  <c:v>131827.405</c:v>
                </c:pt>
              </c:numCache>
            </c:numRef>
          </c:val>
          <c:smooth val="0"/>
          <c:extLst>
            <c:ext xmlns:c16="http://schemas.microsoft.com/office/drawing/2014/chart" uri="{C3380CC4-5D6E-409C-BE32-E72D297353CC}">
              <c16:uniqueId val="{00000000-1904-42AB-A390-BA54998F3CAD}"/>
            </c:ext>
          </c:extLst>
        </c:ser>
        <c:dLbls>
          <c:showLegendKey val="0"/>
          <c:showVal val="0"/>
          <c:showCatName val="0"/>
          <c:showSerName val="0"/>
          <c:showPercent val="0"/>
          <c:showBubbleSize val="0"/>
        </c:dLbls>
        <c:smooth val="0"/>
        <c:axId val="53872416"/>
        <c:axId val="53872000"/>
      </c:lineChart>
      <c:catAx>
        <c:axId val="53872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53872000"/>
        <c:crosses val="autoZero"/>
        <c:auto val="1"/>
        <c:lblAlgn val="ctr"/>
        <c:lblOffset val="100"/>
        <c:noMultiLvlLbl val="0"/>
      </c:catAx>
      <c:valAx>
        <c:axId val="53872000"/>
        <c:scaling>
          <c:orientation val="minMax"/>
        </c:scaling>
        <c:delete val="1"/>
        <c:axPos val="l"/>
        <c:numFmt formatCode="General" sourceLinked="1"/>
        <c:majorTickMark val="none"/>
        <c:minorTickMark val="none"/>
        <c:tickLblPos val="nextTo"/>
        <c:crossAx val="538724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[Dashboard Project beginner.xlsm]department!PivotTable3</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tx1"/>
                </a:solidFill>
              </a:rPr>
              <a:t>Average Annual Salary</a:t>
            </a:r>
            <a:r>
              <a:rPr lang="en-US" baseline="0">
                <a:solidFill>
                  <a:schemeClr val="tx1"/>
                </a:solidFill>
              </a:rPr>
              <a:t> Based on Department</a:t>
            </a:r>
            <a:endParaRPr lang="en-US">
              <a:solidFill>
                <a:schemeClr val="tx1"/>
              </a:solidFill>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3"/>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3"/>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3">
              <a:shade val="53000"/>
            </a:schemeClr>
          </a:solidFill>
          <a:ln w="25400">
            <a:solidFill>
              <a:schemeClr val="lt1"/>
            </a:solidFill>
          </a:ln>
          <a:effectLst/>
          <a:sp3d contourW="25400">
            <a:contourClr>
              <a:schemeClr val="lt1"/>
            </a:contourClr>
          </a:sp3d>
        </c:spPr>
      </c:pivotFmt>
      <c:pivotFmt>
        <c:idx val="4"/>
        <c:spPr>
          <a:solidFill>
            <a:schemeClr val="accent3">
              <a:shade val="76000"/>
            </a:schemeClr>
          </a:solidFill>
          <a:ln w="25400">
            <a:solidFill>
              <a:schemeClr val="lt1"/>
            </a:solidFill>
          </a:ln>
          <a:effectLst/>
          <a:sp3d contourW="25400">
            <a:contourClr>
              <a:schemeClr val="lt1"/>
            </a:contourClr>
          </a:sp3d>
        </c:spPr>
      </c:pivotFmt>
      <c:pivotFmt>
        <c:idx val="5"/>
        <c:spPr>
          <a:solidFill>
            <a:schemeClr val="accent3"/>
          </a:solidFill>
          <a:ln w="25400">
            <a:solidFill>
              <a:schemeClr val="lt1"/>
            </a:solidFill>
          </a:ln>
          <a:effectLst/>
          <a:sp3d contourW="25400">
            <a:contourClr>
              <a:schemeClr val="lt1"/>
            </a:contourClr>
          </a:sp3d>
        </c:spPr>
      </c:pivotFmt>
      <c:pivotFmt>
        <c:idx val="6"/>
        <c:spPr>
          <a:solidFill>
            <a:schemeClr val="accent3">
              <a:tint val="77000"/>
            </a:schemeClr>
          </a:solidFill>
          <a:ln w="25400">
            <a:solidFill>
              <a:schemeClr val="lt1"/>
            </a:solidFill>
          </a:ln>
          <a:effectLst/>
          <a:sp3d contourW="25400">
            <a:contourClr>
              <a:schemeClr val="lt1"/>
            </a:contourClr>
          </a:sp3d>
        </c:spPr>
      </c:pivotFmt>
      <c:pivotFmt>
        <c:idx val="7"/>
        <c:spPr>
          <a:solidFill>
            <a:schemeClr val="accent3">
              <a:tint val="54000"/>
            </a:schemeClr>
          </a:solidFill>
          <a:ln w="25400">
            <a:solidFill>
              <a:schemeClr val="lt1"/>
            </a:solidFill>
          </a:ln>
          <a:effectLst/>
          <a:sp3d contourW="25400">
            <a:contourClr>
              <a:schemeClr val="lt1"/>
            </a:contourClr>
          </a:sp3d>
        </c:spPr>
      </c:pivotFmt>
      <c:pivotFmt>
        <c:idx val="8"/>
        <c:spPr>
          <a:solidFill>
            <a:schemeClr val="accent3"/>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3">
              <a:shade val="53000"/>
            </a:schemeClr>
          </a:solidFill>
          <a:ln w="25400">
            <a:solidFill>
              <a:schemeClr val="lt1"/>
            </a:solidFill>
          </a:ln>
          <a:effectLst/>
          <a:sp3d contourW="25400">
            <a:contourClr>
              <a:schemeClr val="lt1"/>
            </a:contourClr>
          </a:sp3d>
        </c:spPr>
      </c:pivotFmt>
      <c:pivotFmt>
        <c:idx val="10"/>
        <c:spPr>
          <a:solidFill>
            <a:schemeClr val="accent3">
              <a:shade val="76000"/>
            </a:schemeClr>
          </a:solidFill>
          <a:ln w="25400">
            <a:solidFill>
              <a:schemeClr val="lt1"/>
            </a:solidFill>
          </a:ln>
          <a:effectLst/>
          <a:sp3d contourW="25400">
            <a:contourClr>
              <a:schemeClr val="lt1"/>
            </a:contourClr>
          </a:sp3d>
        </c:spPr>
      </c:pivotFmt>
      <c:pivotFmt>
        <c:idx val="11"/>
        <c:spPr>
          <a:solidFill>
            <a:schemeClr val="accent3"/>
          </a:solidFill>
          <a:ln w="25400">
            <a:solidFill>
              <a:schemeClr val="lt1"/>
            </a:solidFill>
          </a:ln>
          <a:effectLst/>
          <a:sp3d contourW="25400">
            <a:contourClr>
              <a:schemeClr val="lt1"/>
            </a:contourClr>
          </a:sp3d>
        </c:spPr>
      </c:pivotFmt>
      <c:pivotFmt>
        <c:idx val="12"/>
        <c:spPr>
          <a:solidFill>
            <a:schemeClr val="accent3">
              <a:tint val="77000"/>
            </a:schemeClr>
          </a:solidFill>
          <a:ln w="25400">
            <a:solidFill>
              <a:schemeClr val="lt1"/>
            </a:solidFill>
          </a:ln>
          <a:effectLst/>
          <a:sp3d contourW="25400">
            <a:contourClr>
              <a:schemeClr val="lt1"/>
            </a:contourClr>
          </a:sp3d>
        </c:spPr>
      </c:pivotFmt>
      <c:pivotFmt>
        <c:idx val="13"/>
        <c:spPr>
          <a:solidFill>
            <a:schemeClr val="accent3">
              <a:tint val="54000"/>
            </a:schemeClr>
          </a:solidFill>
          <a:ln w="25400">
            <a:solidFill>
              <a:schemeClr val="lt1"/>
            </a:solidFill>
          </a:ln>
          <a:effectLst/>
          <a:sp3d contourW="25400">
            <a:contourClr>
              <a:schemeClr val="lt1"/>
            </a:contourClr>
          </a:sp3d>
        </c:spPr>
      </c:pivotFmt>
      <c:pivotFmt>
        <c:idx val="14"/>
        <c:spPr>
          <a:solidFill>
            <a:schemeClr val="accent3"/>
          </a:solidFill>
          <a:ln w="25400">
            <a:solidFill>
              <a:schemeClr val="lt1"/>
            </a:solidFill>
          </a:ln>
          <a:effectLst/>
          <a:sp3d contourW="25400">
            <a:contourClr>
              <a:schemeClr val="lt1"/>
            </a:contourClr>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
        <c:idx val="15"/>
        <c:spPr>
          <a:solidFill>
            <a:schemeClr val="accent3">
              <a:shade val="53000"/>
            </a:schemeClr>
          </a:solidFill>
          <a:ln w="25400">
            <a:solidFill>
              <a:schemeClr val="lt1"/>
            </a:solidFill>
          </a:ln>
          <a:effectLst/>
          <a:sp3d contourW="25400">
            <a:contourClr>
              <a:schemeClr val="lt1"/>
            </a:contourClr>
          </a:sp3d>
        </c:spPr>
      </c:pivotFmt>
      <c:pivotFmt>
        <c:idx val="16"/>
        <c:spPr>
          <a:solidFill>
            <a:schemeClr val="accent3">
              <a:shade val="76000"/>
            </a:schemeClr>
          </a:solidFill>
          <a:ln w="25400">
            <a:solidFill>
              <a:schemeClr val="lt1"/>
            </a:solidFill>
          </a:ln>
          <a:effectLst/>
          <a:sp3d contourW="25400">
            <a:contourClr>
              <a:schemeClr val="lt1"/>
            </a:contourClr>
          </a:sp3d>
        </c:spPr>
      </c:pivotFmt>
      <c:pivotFmt>
        <c:idx val="17"/>
        <c:spPr>
          <a:solidFill>
            <a:schemeClr val="accent3"/>
          </a:solidFill>
          <a:ln w="25400">
            <a:solidFill>
              <a:schemeClr val="lt1"/>
            </a:solidFill>
          </a:ln>
          <a:effectLst/>
          <a:sp3d contourW="25400">
            <a:contourClr>
              <a:schemeClr val="lt1"/>
            </a:contourClr>
          </a:sp3d>
        </c:spPr>
      </c:pivotFmt>
      <c:pivotFmt>
        <c:idx val="18"/>
        <c:spPr>
          <a:solidFill>
            <a:schemeClr val="accent3">
              <a:tint val="77000"/>
            </a:schemeClr>
          </a:solidFill>
          <a:ln w="25400">
            <a:solidFill>
              <a:schemeClr val="lt1"/>
            </a:solidFill>
          </a:ln>
          <a:effectLst/>
          <a:sp3d contourW="25400">
            <a:contourClr>
              <a:schemeClr val="lt1"/>
            </a:contourClr>
          </a:sp3d>
        </c:spPr>
      </c:pivotFmt>
      <c:pivotFmt>
        <c:idx val="19"/>
        <c:spPr>
          <a:solidFill>
            <a:schemeClr val="accent3">
              <a:tint val="54000"/>
            </a:schemeClr>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department!$B$3</c:f>
              <c:strCache>
                <c:ptCount val="1"/>
                <c:pt idx="0">
                  <c:v>Total</c:v>
                </c:pt>
              </c:strCache>
            </c:strRef>
          </c:tx>
          <c:dPt>
            <c:idx val="0"/>
            <c:bubble3D val="0"/>
            <c:spPr>
              <a:solidFill>
                <a:schemeClr val="accent3">
                  <a:shade val="53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1-F424-4DB5-9CFB-8F2B1E9FBE9F}"/>
              </c:ext>
            </c:extLst>
          </c:dPt>
          <c:dPt>
            <c:idx val="1"/>
            <c:bubble3D val="0"/>
            <c:spPr>
              <a:solidFill>
                <a:schemeClr val="accent3">
                  <a:shade val="76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3-F424-4DB5-9CFB-8F2B1E9FBE9F}"/>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F424-4DB5-9CFB-8F2B1E9FBE9F}"/>
              </c:ext>
            </c:extLst>
          </c:dPt>
          <c:dPt>
            <c:idx val="3"/>
            <c:bubble3D val="0"/>
            <c:spPr>
              <a:solidFill>
                <a:schemeClr val="accent3">
                  <a:tint val="77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7-F424-4DB5-9CFB-8F2B1E9FBE9F}"/>
              </c:ext>
            </c:extLst>
          </c:dPt>
          <c:dPt>
            <c:idx val="4"/>
            <c:bubble3D val="0"/>
            <c:spPr>
              <a:solidFill>
                <a:schemeClr val="accent3">
                  <a:tint val="54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9-F424-4DB5-9CFB-8F2B1E9FBE9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department!$A$4:$A$9</c:f>
              <c:strCache>
                <c:ptCount val="5"/>
                <c:pt idx="0">
                  <c:v>Finance</c:v>
                </c:pt>
                <c:pt idx="1">
                  <c:v>HR</c:v>
                </c:pt>
                <c:pt idx="2">
                  <c:v>IT</c:v>
                </c:pt>
                <c:pt idx="3">
                  <c:v>Marketing</c:v>
                </c:pt>
                <c:pt idx="4">
                  <c:v>Sales</c:v>
                </c:pt>
              </c:strCache>
            </c:strRef>
          </c:cat>
          <c:val>
            <c:numRef>
              <c:f>department!$B$4:$B$9</c:f>
              <c:numCache>
                <c:formatCode>General</c:formatCode>
                <c:ptCount val="5"/>
                <c:pt idx="0">
                  <c:v>119569.16625000001</c:v>
                </c:pt>
                <c:pt idx="1">
                  <c:v>98394.070526315802</c:v>
                </c:pt>
                <c:pt idx="2">
                  <c:v>84151.041428571436</c:v>
                </c:pt>
                <c:pt idx="3">
                  <c:v>106388.37636363637</c:v>
                </c:pt>
                <c:pt idx="4">
                  <c:v>105925.12</c:v>
                </c:pt>
              </c:numCache>
            </c:numRef>
          </c:val>
          <c:extLst>
            <c:ext xmlns:c16="http://schemas.microsoft.com/office/drawing/2014/chart" uri="{C3380CC4-5D6E-409C-BE32-E72D297353CC}">
              <c16:uniqueId val="{0000000A-F424-4DB5-9CFB-8F2B1E9FBE9F}"/>
            </c:ext>
          </c:extLst>
        </c:ser>
        <c:dLbls>
          <c:dLblPos val="inEnd"/>
          <c:showLegendKey val="0"/>
          <c:showVal val="1"/>
          <c:showCatName val="0"/>
          <c:showSerName val="0"/>
          <c:showPercent val="0"/>
          <c:showBubbleSize val="0"/>
          <c:showLeaderLines val="1"/>
        </c:dLbls>
      </c:pie3D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[Dashboard Project beginner.xlsm]Business unit!PivotTable4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solidFill>
                  <a:schemeClr val="tx1"/>
                </a:solidFill>
              </a:rPr>
              <a:t>Average Annual Salary Based on Business Unit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3"/>
          </a:solidFill>
          <a:ln>
            <a:noFill/>
          </a:ln>
          <a:effectLst/>
        </c:spPr>
        <c:marker>
          <c:symbol val="none"/>
        </c:marker>
      </c:pivotFmt>
      <c:pivotFmt>
        <c:idx val="1"/>
        <c:spPr>
          <a:solidFill>
            <a:schemeClr val="accent3"/>
          </a:solidFill>
          <a:ln>
            <a:noFill/>
          </a:ln>
          <a:effectLst/>
        </c:spPr>
        <c:marker>
          <c:symbol val="none"/>
        </c:marker>
      </c:pivotFmt>
      <c:pivotFmt>
        <c:idx val="2"/>
        <c:spPr>
          <a:solidFill>
            <a:schemeClr val="accent3"/>
          </a:solidFill>
          <a:ln>
            <a:noFill/>
          </a:ln>
          <a:effectLst/>
        </c:spPr>
        <c:marker>
          <c:symbol val="none"/>
        </c:marker>
      </c:pivotFmt>
    </c:pivotFmts>
    <c:plotArea>
      <c:layout/>
      <c:barChart>
        <c:barDir val="bar"/>
        <c:grouping val="clustered"/>
        <c:varyColors val="0"/>
        <c:ser>
          <c:idx val="0"/>
          <c:order val="0"/>
          <c:tx>
            <c:strRef>
              <c:f>'Business unit'!$B$3</c:f>
              <c:strCache>
                <c:ptCount val="1"/>
                <c:pt idx="0">
                  <c:v>Total</c:v>
                </c:pt>
              </c:strCache>
            </c:strRef>
          </c:tx>
          <c:spPr>
            <a:solidFill>
              <a:schemeClr val="accent3"/>
            </a:solidFill>
            <a:ln>
              <a:noFill/>
            </a:ln>
            <a:effectLst/>
          </c:spPr>
          <c:invertIfNegative val="0"/>
          <c:cat>
            <c:strRef>
              <c:f>'Business unit'!$A$4:$A$7</c:f>
              <c:strCache>
                <c:ptCount val="3"/>
                <c:pt idx="0">
                  <c:v>Unit A</c:v>
                </c:pt>
                <c:pt idx="1">
                  <c:v>Unit B</c:v>
                </c:pt>
                <c:pt idx="2">
                  <c:v>Unit C</c:v>
                </c:pt>
              </c:strCache>
            </c:strRef>
          </c:cat>
          <c:val>
            <c:numRef>
              <c:f>'Business unit'!$B$4:$B$7</c:f>
              <c:numCache>
                <c:formatCode>General</c:formatCode>
                <c:ptCount val="3"/>
                <c:pt idx="0">
                  <c:v>133100.26499999998</c:v>
                </c:pt>
                <c:pt idx="1">
                  <c:v>99662.48</c:v>
                </c:pt>
                <c:pt idx="2">
                  <c:v>104254.89</c:v>
                </c:pt>
              </c:numCache>
            </c:numRef>
          </c:val>
          <c:extLst>
            <c:ext xmlns:c16="http://schemas.microsoft.com/office/drawing/2014/chart" uri="{C3380CC4-5D6E-409C-BE32-E72D297353CC}">
              <c16:uniqueId val="{00000000-D0F3-4EE5-B3E1-368E723D19E6}"/>
            </c:ext>
          </c:extLst>
        </c:ser>
        <c:dLbls>
          <c:showLegendKey val="0"/>
          <c:showVal val="0"/>
          <c:showCatName val="0"/>
          <c:showSerName val="0"/>
          <c:showPercent val="0"/>
          <c:showBubbleSize val="0"/>
        </c:dLbls>
        <c:gapWidth val="182"/>
        <c:axId val="156561920"/>
        <c:axId val="156568992"/>
      </c:barChart>
      <c:catAx>
        <c:axId val="1565619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568992"/>
        <c:crosses val="autoZero"/>
        <c:auto val="1"/>
        <c:lblAlgn val="ctr"/>
        <c:lblOffset val="100"/>
        <c:noMultiLvlLbl val="0"/>
      </c:catAx>
      <c:valAx>
        <c:axId val="156568992"/>
        <c:scaling>
          <c:orientation val="minMax"/>
        </c:scaling>
        <c:delete val="1"/>
        <c:axPos val="b"/>
        <c:numFmt formatCode="General" sourceLinked="1"/>
        <c:majorTickMark val="none"/>
        <c:minorTickMark val="none"/>
        <c:tickLblPos val="nextTo"/>
        <c:crossAx val="1565619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[Dashboard Project beginner.xlsm]Exit date!PivotTable5</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a:t>
            </a:r>
            <a:r>
              <a:rPr lang="en-US" baseline="0"/>
              <a:t> Annual Salary Based on Exit Date</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3"/>
          </a:solidFill>
          <a:ln>
            <a:noFill/>
          </a:ln>
          <a:effectLst/>
          <a:sp3d/>
        </c:spPr>
        <c:marker>
          <c:symbol val="none"/>
        </c:marker>
      </c:pivotFmt>
      <c:pivotFmt>
        <c:idx val="1"/>
        <c:spPr>
          <a:solidFill>
            <a:schemeClr val="accent3"/>
          </a:solidFill>
          <a:ln>
            <a:noFill/>
          </a:ln>
          <a:effectLst/>
          <a:sp3d/>
        </c:spPr>
        <c:marker>
          <c:symbol val="none"/>
        </c:marker>
      </c:pivotFmt>
      <c:pivotFmt>
        <c:idx val="2"/>
        <c:spPr>
          <a:solidFill>
            <a:schemeClr val="accent3"/>
          </a:solidFill>
          <a:ln>
            <a:noFill/>
          </a:ln>
          <a:effectLst/>
          <a:sp3d/>
        </c:spPr>
        <c:marker>
          <c:symbol val="none"/>
        </c:marker>
      </c:pivotFmt>
    </c:pivotFmts>
    <c:view3D>
      <c:rotX val="15"/>
      <c:rotY val="20"/>
      <c:depthPercent val="100"/>
      <c:rAngAx val="0"/>
    </c:view3D>
    <c:floor>
      <c:thickness val="0"/>
      <c:spPr>
        <a:noFill/>
        <a:ln w="9525" cap="flat" cmpd="sng" algn="ctr">
          <a:solidFill>
            <a:schemeClr val="tx1">
              <a:lumMod val="15000"/>
              <a:lumOff val="85000"/>
            </a:schemeClr>
          </a:solidFill>
          <a:round/>
        </a:ln>
        <a:effectLst/>
        <a:sp3d contourW="9525">
          <a:contourClr>
            <a:schemeClr val="tx1">
              <a:lumMod val="15000"/>
              <a:lumOff val="85000"/>
            </a:schemeClr>
          </a:contourClr>
        </a:sp3d>
      </c:spPr>
    </c:floor>
    <c:sideWall>
      <c:thickness val="0"/>
      <c:spPr>
        <a:noFill/>
        <a:ln w="25400">
          <a:noFill/>
        </a:ln>
        <a:effectLst/>
        <a:sp3d/>
      </c:spPr>
    </c:sideWall>
    <c:backWall>
      <c:thickness val="0"/>
      <c:spPr>
        <a:noFill/>
        <a:ln w="25400">
          <a:noFill/>
        </a:ln>
        <a:effectLst/>
        <a:sp3d/>
      </c:spPr>
    </c:backWall>
    <c:plotArea>
      <c:layout/>
      <c:area3DChart>
        <c:grouping val="standard"/>
        <c:varyColors val="0"/>
        <c:ser>
          <c:idx val="0"/>
          <c:order val="0"/>
          <c:tx>
            <c:strRef>
              <c:f>'Exit date'!$B$3</c:f>
              <c:strCache>
                <c:ptCount val="1"/>
                <c:pt idx="0">
                  <c:v>Total</c:v>
                </c:pt>
              </c:strCache>
            </c:strRef>
          </c:tx>
          <c:spPr>
            <a:solidFill>
              <a:schemeClr val="accent3"/>
            </a:solidFill>
            <a:ln>
              <a:noFill/>
            </a:ln>
            <a:effectLst/>
            <a:sp3d/>
          </c:spPr>
          <c:cat>
            <c:strRef>
              <c:f>'Exit date'!$A$4:$A$12</c:f>
              <c:strCache>
                <c:ptCount val="8"/>
                <c:pt idx="0">
                  <c:v>&lt;22-12-2012</c:v>
                </c:pt>
                <c:pt idx="1">
                  <c:v>2012</c:v>
                </c:pt>
                <c:pt idx="2">
                  <c:v>2013</c:v>
                </c:pt>
                <c:pt idx="3">
                  <c:v>2015</c:v>
                </c:pt>
                <c:pt idx="4">
                  <c:v>2019</c:v>
                </c:pt>
                <c:pt idx="5">
                  <c:v>2020</c:v>
                </c:pt>
                <c:pt idx="6">
                  <c:v>2023</c:v>
                </c:pt>
                <c:pt idx="7">
                  <c:v>2024</c:v>
                </c:pt>
              </c:strCache>
            </c:strRef>
          </c:cat>
          <c:val>
            <c:numRef>
              <c:f>'Exit date'!$B$4:$B$12</c:f>
              <c:numCache>
                <c:formatCode>General</c:formatCode>
                <c:ptCount val="8"/>
                <c:pt idx="0">
                  <c:v>104093.30799999999</c:v>
                </c:pt>
                <c:pt idx="1">
                  <c:v>97908.65</c:v>
                </c:pt>
                <c:pt idx="2">
                  <c:v>109457.69</c:v>
                </c:pt>
                <c:pt idx="3">
                  <c:v>85852.04</c:v>
                </c:pt>
                <c:pt idx="4">
                  <c:v>84787.77</c:v>
                </c:pt>
                <c:pt idx="5">
                  <c:v>107350.15</c:v>
                </c:pt>
                <c:pt idx="6">
                  <c:v>92745.596666666665</c:v>
                </c:pt>
                <c:pt idx="7">
                  <c:v>89479.2</c:v>
                </c:pt>
              </c:numCache>
            </c:numRef>
          </c:val>
          <c:extLst>
            <c:ext xmlns:c16="http://schemas.microsoft.com/office/drawing/2014/chart" uri="{C3380CC4-5D6E-409C-BE32-E72D297353CC}">
              <c16:uniqueId val="{00000000-448D-4947-93C0-8284A2017822}"/>
            </c:ext>
          </c:extLst>
        </c:ser>
        <c:dLbls>
          <c:showLegendKey val="0"/>
          <c:showVal val="0"/>
          <c:showCatName val="0"/>
          <c:showSerName val="0"/>
          <c:showPercent val="0"/>
          <c:showBubbleSize val="0"/>
        </c:dLbls>
        <c:axId val="144295600"/>
        <c:axId val="144286448"/>
        <c:axId val="303998144"/>
      </c:area3DChart>
      <c:catAx>
        <c:axId val="1442956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86448"/>
        <c:crosses val="autoZero"/>
        <c:auto val="1"/>
        <c:lblAlgn val="ctr"/>
        <c:lblOffset val="100"/>
        <c:noMultiLvlLbl val="0"/>
      </c:catAx>
      <c:valAx>
        <c:axId val="144286448"/>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44295600"/>
        <c:crosses val="autoZero"/>
        <c:crossBetween val="midCat"/>
      </c:valAx>
      <c:serAx>
        <c:axId val="303998144"/>
        <c:scaling>
          <c:orientation val="minMax"/>
        </c:scaling>
        <c:delete val="1"/>
        <c:axPos val="b"/>
        <c:majorTickMark val="out"/>
        <c:minorTickMark val="none"/>
        <c:tickLblPos val="nextTo"/>
        <c:crossAx val="144286448"/>
        <c:crosses val="autoZero"/>
      </c:serAx>
      <c:spPr>
        <a:noFill/>
        <a:ln>
          <a:noFill/>
        </a:ln>
        <a:effectLst/>
      </c:spPr>
    </c:plotArea>
    <c:plotVisOnly val="1"/>
    <c:dispBlanksAs val="zero"/>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[Dashboard Project beginner.xlsm]Business unit!PivotTable4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solidFill>
                  <a:schemeClr val="tx1"/>
                </a:solidFill>
              </a:rPr>
              <a:t>Average Annual Salary Based on Business Unit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3"/>
          </a:solidFill>
          <a:ln>
            <a:noFill/>
          </a:ln>
          <a:effectLst/>
        </c:spPr>
        <c:marker>
          <c:symbol val="none"/>
        </c:marker>
      </c:pivotFmt>
      <c:pivotFmt>
        <c:idx val="1"/>
        <c:spPr>
          <a:solidFill>
            <a:schemeClr val="accent3"/>
          </a:solidFill>
          <a:ln>
            <a:noFill/>
          </a:ln>
          <a:effectLst/>
        </c:spPr>
        <c:marker>
          <c:symbol val="none"/>
        </c:marker>
      </c:pivotFmt>
    </c:pivotFmts>
    <c:plotArea>
      <c:layout/>
      <c:barChart>
        <c:barDir val="bar"/>
        <c:grouping val="clustered"/>
        <c:varyColors val="0"/>
        <c:ser>
          <c:idx val="0"/>
          <c:order val="0"/>
          <c:tx>
            <c:strRef>
              <c:f>'Business unit'!$B$3</c:f>
              <c:strCache>
                <c:ptCount val="1"/>
                <c:pt idx="0">
                  <c:v>Total</c:v>
                </c:pt>
              </c:strCache>
            </c:strRef>
          </c:tx>
          <c:spPr>
            <a:solidFill>
              <a:schemeClr val="accent3"/>
            </a:solidFill>
            <a:ln>
              <a:noFill/>
            </a:ln>
            <a:effectLst/>
          </c:spPr>
          <c:invertIfNegative val="0"/>
          <c:cat>
            <c:strRef>
              <c:f>'Business unit'!$A$4:$A$7</c:f>
              <c:strCache>
                <c:ptCount val="3"/>
                <c:pt idx="0">
                  <c:v>Unit A</c:v>
                </c:pt>
                <c:pt idx="1">
                  <c:v>Unit B</c:v>
                </c:pt>
                <c:pt idx="2">
                  <c:v>Unit C</c:v>
                </c:pt>
              </c:strCache>
            </c:strRef>
          </c:cat>
          <c:val>
            <c:numRef>
              <c:f>'Business unit'!$B$4:$B$7</c:f>
              <c:numCache>
                <c:formatCode>General</c:formatCode>
                <c:ptCount val="3"/>
                <c:pt idx="0">
                  <c:v>133100.26499999998</c:v>
                </c:pt>
                <c:pt idx="1">
                  <c:v>99662.48</c:v>
                </c:pt>
                <c:pt idx="2">
                  <c:v>104254.89</c:v>
                </c:pt>
              </c:numCache>
            </c:numRef>
          </c:val>
          <c:extLst>
            <c:ext xmlns:c16="http://schemas.microsoft.com/office/drawing/2014/chart" uri="{C3380CC4-5D6E-409C-BE32-E72D297353CC}">
              <c16:uniqueId val="{00000000-4F88-4BC2-A7E1-C11BAE7AF20A}"/>
            </c:ext>
          </c:extLst>
        </c:ser>
        <c:dLbls>
          <c:showLegendKey val="0"/>
          <c:showVal val="0"/>
          <c:showCatName val="0"/>
          <c:showSerName val="0"/>
          <c:showPercent val="0"/>
          <c:showBubbleSize val="0"/>
        </c:dLbls>
        <c:gapWidth val="182"/>
        <c:axId val="156561920"/>
        <c:axId val="156568992"/>
      </c:barChart>
      <c:catAx>
        <c:axId val="1565619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568992"/>
        <c:crosses val="autoZero"/>
        <c:auto val="1"/>
        <c:lblAlgn val="ctr"/>
        <c:lblOffset val="100"/>
        <c:noMultiLvlLbl val="0"/>
      </c:catAx>
      <c:valAx>
        <c:axId val="156568992"/>
        <c:scaling>
          <c:orientation val="minMax"/>
        </c:scaling>
        <c:delete val="1"/>
        <c:axPos val="b"/>
        <c:numFmt formatCode="General" sourceLinked="1"/>
        <c:majorTickMark val="none"/>
        <c:minorTickMark val="none"/>
        <c:tickLblPos val="nextTo"/>
        <c:crossAx val="1565619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[Dashboard Project beginner.xlsm]Exit date!PivotTable5</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a:t>
            </a:r>
            <a:r>
              <a:rPr lang="en-US" baseline="0"/>
              <a:t> Annual Salary Based on Exit Date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3"/>
          </a:solidFill>
          <a:ln>
            <a:noFill/>
          </a:ln>
          <a:effectLst/>
          <a:sp3d/>
        </c:spPr>
        <c:marker>
          <c:symbol val="none"/>
        </c:marker>
      </c:pivotFmt>
      <c:pivotFmt>
        <c:idx val="1"/>
        <c:spPr>
          <a:solidFill>
            <a:schemeClr val="accent3"/>
          </a:solidFill>
          <a:ln>
            <a:noFill/>
          </a:ln>
          <a:effectLst/>
          <a:sp3d/>
        </c:spPr>
        <c:marker>
          <c:symbol val="none"/>
        </c:marker>
      </c:pivotFmt>
    </c:pivotFmts>
    <c:view3D>
      <c:rotX val="15"/>
      <c:rotY val="20"/>
      <c:depthPercent val="100"/>
      <c:rAngAx val="0"/>
    </c:view3D>
    <c:floor>
      <c:thickness val="0"/>
      <c:spPr>
        <a:noFill/>
        <a:ln w="9525" cap="flat" cmpd="sng" algn="ctr">
          <a:solidFill>
            <a:schemeClr val="tx1">
              <a:lumMod val="15000"/>
              <a:lumOff val="85000"/>
            </a:schemeClr>
          </a:solidFill>
          <a:round/>
        </a:ln>
        <a:effectLst/>
        <a:sp3d contourW="9525">
          <a:contourClr>
            <a:schemeClr val="tx1">
              <a:lumMod val="15000"/>
              <a:lumOff val="85000"/>
            </a:schemeClr>
          </a:contourClr>
        </a:sp3d>
      </c:spPr>
    </c:floor>
    <c:sideWall>
      <c:thickness val="0"/>
      <c:spPr>
        <a:noFill/>
        <a:ln>
          <a:noFill/>
        </a:ln>
        <a:effectLst/>
        <a:sp3d/>
      </c:spPr>
    </c:sideWall>
    <c:backWall>
      <c:thickness val="0"/>
      <c:spPr>
        <a:noFill/>
        <a:ln>
          <a:noFill/>
        </a:ln>
        <a:effectLst/>
        <a:sp3d/>
      </c:spPr>
    </c:backWall>
    <c:plotArea>
      <c:layout/>
      <c:area3DChart>
        <c:grouping val="standard"/>
        <c:varyColors val="0"/>
        <c:ser>
          <c:idx val="0"/>
          <c:order val="0"/>
          <c:tx>
            <c:strRef>
              <c:f>'Exit date'!$B$3</c:f>
              <c:strCache>
                <c:ptCount val="1"/>
                <c:pt idx="0">
                  <c:v>Total</c:v>
                </c:pt>
              </c:strCache>
            </c:strRef>
          </c:tx>
          <c:spPr>
            <a:solidFill>
              <a:schemeClr val="accent3"/>
            </a:solidFill>
            <a:ln>
              <a:noFill/>
            </a:ln>
            <a:effectLst/>
            <a:sp3d/>
          </c:spPr>
          <c:cat>
            <c:strRef>
              <c:f>'Exit date'!$A$4:$A$12</c:f>
              <c:strCache>
                <c:ptCount val="8"/>
                <c:pt idx="0">
                  <c:v>&lt;22-12-2012</c:v>
                </c:pt>
                <c:pt idx="1">
                  <c:v>2012</c:v>
                </c:pt>
                <c:pt idx="2">
                  <c:v>2013</c:v>
                </c:pt>
                <c:pt idx="3">
                  <c:v>2015</c:v>
                </c:pt>
                <c:pt idx="4">
                  <c:v>2019</c:v>
                </c:pt>
                <c:pt idx="5">
                  <c:v>2020</c:v>
                </c:pt>
                <c:pt idx="6">
                  <c:v>2023</c:v>
                </c:pt>
                <c:pt idx="7">
                  <c:v>2024</c:v>
                </c:pt>
              </c:strCache>
            </c:strRef>
          </c:cat>
          <c:val>
            <c:numRef>
              <c:f>'Exit date'!$B$4:$B$12</c:f>
              <c:numCache>
                <c:formatCode>General</c:formatCode>
                <c:ptCount val="8"/>
                <c:pt idx="0">
                  <c:v>104093.30799999999</c:v>
                </c:pt>
                <c:pt idx="1">
                  <c:v>97908.65</c:v>
                </c:pt>
                <c:pt idx="2">
                  <c:v>109457.69</c:v>
                </c:pt>
                <c:pt idx="3">
                  <c:v>85852.04</c:v>
                </c:pt>
                <c:pt idx="4">
                  <c:v>84787.77</c:v>
                </c:pt>
                <c:pt idx="5">
                  <c:v>107350.15</c:v>
                </c:pt>
                <c:pt idx="6">
                  <c:v>92745.596666666665</c:v>
                </c:pt>
                <c:pt idx="7">
                  <c:v>89479.2</c:v>
                </c:pt>
              </c:numCache>
            </c:numRef>
          </c:val>
          <c:extLst>
            <c:ext xmlns:c16="http://schemas.microsoft.com/office/drawing/2014/chart" uri="{C3380CC4-5D6E-409C-BE32-E72D297353CC}">
              <c16:uniqueId val="{00000000-C7B2-410C-B84E-533C867F557F}"/>
            </c:ext>
          </c:extLst>
        </c:ser>
        <c:dLbls>
          <c:showLegendKey val="0"/>
          <c:showVal val="0"/>
          <c:showCatName val="0"/>
          <c:showSerName val="0"/>
          <c:showPercent val="0"/>
          <c:showBubbleSize val="0"/>
        </c:dLbls>
        <c:axId val="144295600"/>
        <c:axId val="144286448"/>
        <c:axId val="303998144"/>
      </c:area3DChart>
      <c:catAx>
        <c:axId val="1442956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86448"/>
        <c:crosses val="autoZero"/>
        <c:auto val="1"/>
        <c:lblAlgn val="ctr"/>
        <c:lblOffset val="100"/>
        <c:noMultiLvlLbl val="0"/>
      </c:catAx>
      <c:valAx>
        <c:axId val="144286448"/>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44295600"/>
        <c:crosses val="autoZero"/>
        <c:crossBetween val="midCat"/>
      </c:valAx>
      <c:serAx>
        <c:axId val="303998144"/>
        <c:scaling>
          <c:orientation val="minMax"/>
        </c:scaling>
        <c:delete val="1"/>
        <c:axPos val="b"/>
        <c:majorTickMark val="out"/>
        <c:minorTickMark val="none"/>
        <c:tickLblPos val="nextTo"/>
        <c:crossAx val="144286448"/>
        <c:crosses val="autoZero"/>
      </c:serAx>
      <c:spPr>
        <a:noFill/>
        <a:ln>
          <a:noFill/>
        </a:ln>
        <a:effectLst/>
      </c:spPr>
    </c:plotArea>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6">
  <a:schemeClr val="accent3"/>
</cs:colorStyle>
</file>

<file path=xl/charts/colors2.xml><?xml version="1.0" encoding="utf-8"?>
<cs:colorStyle xmlns:cs="http://schemas.microsoft.com/office/drawing/2012/chartStyle" xmlns:a="http://schemas.openxmlformats.org/drawingml/2006/main" meth="withinLinear" id="16">
  <a:schemeClr val="accent3"/>
</cs:colorStyle>
</file>

<file path=xl/charts/colors3.xml><?xml version="1.0" encoding="utf-8"?>
<cs:colorStyle xmlns:cs="http://schemas.microsoft.com/office/drawing/2012/chartStyle" xmlns:a="http://schemas.openxmlformats.org/drawingml/2006/main" meth="withinLinear" id="16">
  <a:schemeClr val="accent3"/>
</cs:colorStyle>
</file>

<file path=xl/charts/colors4.xml><?xml version="1.0" encoding="utf-8"?>
<cs:colorStyle xmlns:cs="http://schemas.microsoft.com/office/drawing/2012/chartStyle" xmlns:a="http://schemas.openxmlformats.org/drawingml/2006/main" meth="withinLinear" id="16">
  <a:schemeClr val="accent3"/>
</cs:colorStyle>
</file>

<file path=xl/charts/colors5.xml><?xml version="1.0" encoding="utf-8"?>
<cs:colorStyle xmlns:cs="http://schemas.microsoft.com/office/drawing/2012/chartStyle" xmlns:a="http://schemas.openxmlformats.org/drawingml/2006/main" meth="withinLinear" id="16">
  <a:schemeClr val="accent3"/>
</cs:colorStyle>
</file>

<file path=xl/charts/colors6.xml><?xml version="1.0" encoding="utf-8"?>
<cs:colorStyle xmlns:cs="http://schemas.microsoft.com/office/drawing/2012/chartStyle" xmlns:a="http://schemas.openxmlformats.org/drawingml/2006/main" meth="withinLinear" id="16">
  <a:schemeClr val="accent3"/>
</cs:colorStyle>
</file>

<file path=xl/charts/colors7.xml><?xml version="1.0" encoding="utf-8"?>
<cs:colorStyle xmlns:cs="http://schemas.microsoft.com/office/drawing/2012/chartStyle" xmlns:a="http://schemas.openxmlformats.org/drawingml/2006/main" meth="withinLinear" id="16">
  <a:schemeClr val="accent3"/>
</cs:colorStyle>
</file>

<file path=xl/charts/colors8.xml><?xml version="1.0" encoding="utf-8"?>
<cs:colorStyle xmlns:cs="http://schemas.microsoft.com/office/drawing/2012/chartStyle" xmlns:a="http://schemas.openxmlformats.org/drawingml/2006/main" meth="withinLinear" id="16">
  <a:schemeClr val="accent3"/>
</cs:colorStyle>
</file>

<file path=xl/charts/colors9.xml><?xml version="1.0" encoding="utf-8"?>
<cs:colorStyle xmlns:cs="http://schemas.microsoft.com/office/drawing/2012/chartStyle" xmlns:a="http://schemas.openxmlformats.org/drawingml/2006/main" meth="withinLinear" id="16">
  <a:schemeClr val="accent3"/>
</cs:colorStyle>
</file>

<file path=xl/charts/colors10.xml><?xml version="1.0" encoding="utf-8"?>
<cs:colorStyle xmlns:cs="http://schemas.microsoft.com/office/drawing/2012/chartStyle" xmlns:a="http://schemas.openxmlformats.org/drawingml/2006/main" meth="withinLinear" id="16">
  <a:schemeClr val="accent3"/>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B2" lockText="1" noThreeD="1"/>
</file>

<file path=xl/ctrlProps/ctrlProp2.xml><?xml version="1.0" encoding="utf-8"?>
<formControlPr xmlns="http://schemas.microsoft.com/office/spreadsheetml/2009/9/main" objectType="CheckBox" checked="Checked" fmlaLink="D2" lockText="1" noThreeD="1"/>
</file>

<file path=xl/ctrlProps/ctrlProp3.xml><?xml version="1.0" encoding="utf-8"?>
<formControlPr xmlns="http://schemas.microsoft.com/office/spreadsheetml/2009/9/main" objectType="CheckBox" fmlaLink="E2" lockText="1" noThreeD="1"/>
</file>

<file path=xl/ctrlProps/ctrlProp4.xml><?xml version="1.0" encoding="utf-8"?>
<formControlPr xmlns="http://schemas.microsoft.com/office/spreadsheetml/2009/9/main" objectType="CheckBox" checked="Checked" fmlaLink="C2" lockText="1" noThreeD="1"/>
</file>

<file path=xl/ctrlProps/ctrlProp5.xml><?xml version="1.0" encoding="utf-8"?>
<formControlPr xmlns="http://schemas.microsoft.com/office/spreadsheetml/2009/9/main" objectType="CheckBox" checked="Checked" fmlaLink="A2"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5" Type="http://schemas.openxmlformats.org/officeDocument/2006/relationships/chart" Target="../charts/chart8.xml"/><Relationship Id="rId4"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3</xdr:col>
      <xdr:colOff>12700</xdr:colOff>
      <xdr:row>2</xdr:row>
      <xdr:rowOff>9525</xdr:rowOff>
    </xdr:from>
    <xdr:to>
      <xdr:col>10</xdr:col>
      <xdr:colOff>317500</xdr:colOff>
      <xdr:row>16</xdr:row>
      <xdr:rowOff>174625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12700</xdr:colOff>
      <xdr:row>2</xdr:row>
      <xdr:rowOff>15875</xdr:rowOff>
    </xdr:from>
    <xdr:to>
      <xdr:col>10</xdr:col>
      <xdr:colOff>317500</xdr:colOff>
      <xdr:row>16</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15875</xdr:colOff>
      <xdr:row>2</xdr:row>
      <xdr:rowOff>15875</xdr:rowOff>
    </xdr:from>
    <xdr:to>
      <xdr:col>10</xdr:col>
      <xdr:colOff>320675</xdr:colOff>
      <xdr:row>16</xdr:row>
      <xdr:rowOff>180975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10</xdr:row>
      <xdr:rowOff>25583</xdr:rowOff>
    </xdr:from>
    <xdr:to>
      <xdr:col>7</xdr:col>
      <xdr:colOff>304800</xdr:colOff>
      <xdr:row>25</xdr:row>
      <xdr:rowOff>4768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16170</xdr:colOff>
      <xdr:row>1</xdr:row>
      <xdr:rowOff>52917</xdr:rowOff>
    </xdr:from>
    <xdr:to>
      <xdr:col>23</xdr:col>
      <xdr:colOff>319893</xdr:colOff>
      <xdr:row>8</xdr:row>
      <xdr:rowOff>74814</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3531</xdr:colOff>
      <xdr:row>1</xdr:row>
      <xdr:rowOff>52917</xdr:rowOff>
    </xdr:from>
    <xdr:to>
      <xdr:col>15</xdr:col>
      <xdr:colOff>306919</xdr:colOff>
      <xdr:row>8</xdr:row>
      <xdr:rowOff>77455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10948</xdr:colOff>
      <xdr:row>9</xdr:row>
      <xdr:rowOff>174114</xdr:rowOff>
    </xdr:from>
    <xdr:to>
      <xdr:col>15</xdr:col>
      <xdr:colOff>315748</xdr:colOff>
      <xdr:row>24</xdr:row>
      <xdr:rowOff>154859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10948</xdr:colOff>
      <xdr:row>10</xdr:row>
      <xdr:rowOff>-1</xdr:rowOff>
    </xdr:from>
    <xdr:to>
      <xdr:col>23</xdr:col>
      <xdr:colOff>281335</xdr:colOff>
      <xdr:row>24</xdr:row>
      <xdr:rowOff>162232</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0</xdr:colOff>
      <xdr:row>0</xdr:row>
      <xdr:rowOff>426005</xdr:rowOff>
    </xdr:from>
    <xdr:to>
      <xdr:col>7</xdr:col>
      <xdr:colOff>254229</xdr:colOff>
      <xdr:row>1</xdr:row>
      <xdr:rowOff>254002</xdr:rowOff>
    </xdr:to>
    <mc:AlternateContent xmlns:mc="http://schemas.openxmlformats.org/markup-compatibility/2006" xmlns:a14="http://schemas.microsoft.com/office/drawing/2010/main">
      <mc:Choice Requires="a14">
        <xdr:graphicFrame macro="">
          <xdr:nvGraphicFramePr>
            <xdr:cNvPr id="8" name="Gende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0" y="426005"/>
              <a:ext cx="4551062" cy="4524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3</xdr:row>
      <xdr:rowOff>0</xdr:rowOff>
    </xdr:from>
    <xdr:to>
      <xdr:col>7</xdr:col>
      <xdr:colOff>253999</xdr:colOff>
      <xdr:row>7</xdr:row>
      <xdr:rowOff>169333</xdr:rowOff>
    </xdr:to>
    <mc:AlternateContent xmlns:mc="http://schemas.openxmlformats.org/markup-compatibility/2006" xmlns:a14="http://schemas.microsoft.com/office/drawing/2010/main">
      <mc:Choice Requires="a14">
        <xdr:graphicFrame macro="">
          <xdr:nvGraphicFramePr>
            <xdr:cNvPr id="10" name="City"/>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0" y="1270000"/>
              <a:ext cx="4550832" cy="2063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402166</xdr:colOff>
      <xdr:row>1</xdr:row>
      <xdr:rowOff>179916</xdr:rowOff>
    </xdr:from>
    <xdr:to>
      <xdr:col>15</xdr:col>
      <xdr:colOff>179917</xdr:colOff>
      <xdr:row>1</xdr:row>
      <xdr:rowOff>391583</xdr:rowOff>
    </xdr:to>
    <xdr:sp macro="" textlink="">
      <xdr:nvSpPr>
        <xdr:cNvPr id="11" name="Rounded Rectangular Callout 10"/>
        <xdr:cNvSpPr/>
      </xdr:nvSpPr>
      <xdr:spPr>
        <a:xfrm>
          <a:off x="8995833" y="804333"/>
          <a:ext cx="391584" cy="211667"/>
        </a:xfrm>
        <a:prstGeom prst="wedgeRoundRectCallout">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14</xdr:col>
          <xdr:colOff>508000</xdr:colOff>
          <xdr:row>1</xdr:row>
          <xdr:rowOff>139700</xdr:rowOff>
        </xdr:from>
        <xdr:to>
          <xdr:col>15</xdr:col>
          <xdr:colOff>63500</xdr:colOff>
          <xdr:row>1</xdr:row>
          <xdr:rowOff>412750</xdr:rowOff>
        </xdr:to>
        <xdr:sp macro="" textlink="">
          <xdr:nvSpPr>
            <xdr:cNvPr id="3074" name="Check Box 2" hidden="1">
              <a:extLst>
                <a:ext uri="{63B3BB69-23CF-44E3-9099-C40C66FF867C}">
                  <a14:compatExt spid="_x0000_s30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558800</xdr:colOff>
          <xdr:row>1</xdr:row>
          <xdr:rowOff>120650</xdr:rowOff>
        </xdr:from>
        <xdr:to>
          <xdr:col>23</xdr:col>
          <xdr:colOff>114300</xdr:colOff>
          <xdr:row>1</xdr:row>
          <xdr:rowOff>393700</xdr:rowOff>
        </xdr:to>
        <xdr:sp macro="" textlink="">
          <xdr:nvSpPr>
            <xdr:cNvPr id="3078" name="Check Box 6" hidden="1">
              <a:extLst>
                <a:ext uri="{63B3BB69-23CF-44E3-9099-C40C66FF867C}">
                  <a14:compatExt spid="_x0000_s30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552450</xdr:colOff>
          <xdr:row>10</xdr:row>
          <xdr:rowOff>63500</xdr:rowOff>
        </xdr:from>
        <xdr:to>
          <xdr:col>23</xdr:col>
          <xdr:colOff>107950</xdr:colOff>
          <xdr:row>11</xdr:row>
          <xdr:rowOff>158750</xdr:rowOff>
        </xdr:to>
        <xdr:sp macro="" textlink="">
          <xdr:nvSpPr>
            <xdr:cNvPr id="3079" name="Check Box 7" hidden="1">
              <a:extLst>
                <a:ext uri="{63B3BB69-23CF-44E3-9099-C40C66FF867C}">
                  <a14:compatExt spid="_x0000_s30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558800</xdr:colOff>
          <xdr:row>10</xdr:row>
          <xdr:rowOff>76200</xdr:rowOff>
        </xdr:from>
        <xdr:to>
          <xdr:col>15</xdr:col>
          <xdr:colOff>114300</xdr:colOff>
          <xdr:row>11</xdr:row>
          <xdr:rowOff>171450</xdr:rowOff>
        </xdr:to>
        <xdr:sp macro="" textlink="">
          <xdr:nvSpPr>
            <xdr:cNvPr id="3080" name="Check Box 8" hidden="1">
              <a:extLst>
                <a:ext uri="{63B3BB69-23CF-44E3-9099-C40C66FF867C}">
                  <a14:compatExt spid="_x0000_s30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6</xdr:col>
      <xdr:colOff>391583</xdr:colOff>
      <xdr:row>10</xdr:row>
      <xdr:rowOff>137583</xdr:rowOff>
    </xdr:from>
    <xdr:to>
      <xdr:col>7</xdr:col>
      <xdr:colOff>169334</xdr:colOff>
      <xdr:row>11</xdr:row>
      <xdr:rowOff>169334</xdr:rowOff>
    </xdr:to>
    <xdr:sp macro="" textlink="">
      <xdr:nvSpPr>
        <xdr:cNvPr id="25" name="Rounded Rectangular Callout 24"/>
        <xdr:cNvSpPr/>
      </xdr:nvSpPr>
      <xdr:spPr>
        <a:xfrm>
          <a:off x="4074583" y="3841750"/>
          <a:ext cx="391584" cy="211667"/>
        </a:xfrm>
        <a:prstGeom prst="wedgeRoundRectCallout">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495300</xdr:colOff>
          <xdr:row>10</xdr:row>
          <xdr:rowOff>95250</xdr:rowOff>
        </xdr:from>
        <xdr:to>
          <xdr:col>7</xdr:col>
          <xdr:colOff>50800</xdr:colOff>
          <xdr:row>12</xdr:row>
          <xdr:rowOff>0</xdr:rowOff>
        </xdr:to>
        <xdr:sp macro="" textlink="">
          <xdr:nvSpPr>
            <xdr:cNvPr id="3081" name="Check Box 9" hidden="1">
              <a:extLst>
                <a:ext uri="{63B3BB69-23CF-44E3-9099-C40C66FF867C}">
                  <a14:compatExt spid="_x0000_s30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c:userShapes xmlns:c="http://schemas.openxmlformats.org/drawingml/2006/chart">
  <cdr:relSizeAnchor xmlns:cdr="http://schemas.openxmlformats.org/drawingml/2006/chartDrawing">
    <cdr:from>
      <cdr:x>0.89211</cdr:x>
      <cdr:y>0.03783</cdr:y>
    </cdr:from>
    <cdr:to>
      <cdr:x>0.97723</cdr:x>
      <cdr:y>0.11503</cdr:y>
    </cdr:to>
    <cdr:sp macro="" textlink="">
      <cdr:nvSpPr>
        <cdr:cNvPr id="2" name="Rounded Rectangular Callout 1"/>
        <cdr:cNvSpPr/>
      </cdr:nvSpPr>
      <cdr:spPr>
        <a:xfrm xmlns:a="http://schemas.openxmlformats.org/drawingml/2006/main">
          <a:off x="4104217" y="103718"/>
          <a:ext cx="391584" cy="211667"/>
        </a:xfrm>
        <a:prstGeom xmlns:a="http://schemas.openxmlformats.org/drawingml/2006/main" prst="wedgeRoundRectCallout">
          <a:avLst/>
        </a:prstGeom>
        <a:solidFill xmlns:a="http://schemas.openxmlformats.org/drawingml/2006/main">
          <a:schemeClr val="accent3">
            <a:lumMod val="20000"/>
            <a:lumOff val="80000"/>
          </a:schemeClr>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t"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en-US" sz="1100"/>
        </a:p>
      </cdr:txBody>
    </cdr:sp>
  </cdr:relSizeAnchor>
</c:userShapes>
</file>

<file path=xl/drawings/drawing6.xml><?xml version="1.0" encoding="utf-8"?>
<c:userShapes xmlns:c="http://schemas.openxmlformats.org/drawingml/2006/chart">
  <cdr:relSizeAnchor xmlns:cdr="http://schemas.openxmlformats.org/drawingml/2006/chartDrawing">
    <cdr:from>
      <cdr:x>0.8942</cdr:x>
      <cdr:y>0.04266</cdr:y>
    </cdr:from>
    <cdr:to>
      <cdr:x>0.9793</cdr:x>
      <cdr:y>0.12165</cdr:y>
    </cdr:to>
    <cdr:sp macro="" textlink="">
      <cdr:nvSpPr>
        <cdr:cNvPr id="2" name="Rounded Rectangular Callout 1"/>
        <cdr:cNvSpPr/>
      </cdr:nvSpPr>
      <cdr:spPr>
        <a:xfrm xmlns:a="http://schemas.openxmlformats.org/drawingml/2006/main">
          <a:off x="4114800" y="114301"/>
          <a:ext cx="391584" cy="211667"/>
        </a:xfrm>
        <a:prstGeom xmlns:a="http://schemas.openxmlformats.org/drawingml/2006/main" prst="wedgeRoundRectCallout">
          <a:avLst/>
        </a:prstGeom>
        <a:solidFill xmlns:a="http://schemas.openxmlformats.org/drawingml/2006/main">
          <a:schemeClr val="accent3">
            <a:lumMod val="20000"/>
            <a:lumOff val="80000"/>
          </a:schemeClr>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t"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en-US" sz="1100"/>
        </a:p>
      </cdr:txBody>
    </cdr:sp>
  </cdr:relSizeAnchor>
</c:userShapes>
</file>

<file path=xl/drawings/drawing7.xml><?xml version="1.0" encoding="utf-8"?>
<c:userShapes xmlns:c="http://schemas.openxmlformats.org/drawingml/2006/chart">
  <cdr:relSizeAnchor xmlns:cdr="http://schemas.openxmlformats.org/drawingml/2006/chartDrawing">
    <cdr:from>
      <cdr:x>0.89399</cdr:x>
      <cdr:y>0.03474</cdr:y>
    </cdr:from>
    <cdr:to>
      <cdr:x>0.97973</cdr:x>
      <cdr:y>0.11369</cdr:y>
    </cdr:to>
    <cdr:sp macro="" textlink="">
      <cdr:nvSpPr>
        <cdr:cNvPr id="2" name="Rounded Rectangular Callout 1"/>
        <cdr:cNvSpPr/>
      </cdr:nvSpPr>
      <cdr:spPr>
        <a:xfrm xmlns:a="http://schemas.openxmlformats.org/drawingml/2006/main">
          <a:off x="4083050" y="93134"/>
          <a:ext cx="391584" cy="211667"/>
        </a:xfrm>
        <a:prstGeom xmlns:a="http://schemas.openxmlformats.org/drawingml/2006/main" prst="wedgeRoundRectCallout">
          <a:avLst/>
        </a:prstGeom>
        <a:solidFill xmlns:a="http://schemas.openxmlformats.org/drawingml/2006/main">
          <a:schemeClr val="accent3">
            <a:lumMod val="20000"/>
            <a:lumOff val="80000"/>
          </a:schemeClr>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t"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en-US" sz="1100"/>
        </a:p>
      </cdr:txBody>
    </cdr:sp>
  </cdr:relSizeAnchor>
</c:userShapes>
</file>

<file path=xl/drawings/drawing8.xml><?xml version="1.0" encoding="utf-8"?>
<xdr:wsDr xmlns:xdr="http://schemas.openxmlformats.org/drawingml/2006/spreadsheetDrawing" xmlns:a="http://schemas.openxmlformats.org/drawingml/2006/main">
  <xdr:twoCellAnchor>
    <xdr:from>
      <xdr:col>3</xdr:col>
      <xdr:colOff>9525</xdr:colOff>
      <xdr:row>2</xdr:row>
      <xdr:rowOff>22225</xdr:rowOff>
    </xdr:from>
    <xdr:to>
      <xdr:col>10</xdr:col>
      <xdr:colOff>314325</xdr:colOff>
      <xdr:row>17</xdr:row>
      <xdr:rowOff>3175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9525</xdr:colOff>
      <xdr:row>2</xdr:row>
      <xdr:rowOff>3175</xdr:rowOff>
    </xdr:from>
    <xdr:to>
      <xdr:col>10</xdr:col>
      <xdr:colOff>314325</xdr:colOff>
      <xdr:row>16</xdr:row>
      <xdr:rowOff>168275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DAIC" refreshedDate="45797.550891435189" createdVersion="6" refreshedVersion="6" minRefreshableVersion="3" recordCount="55">
  <cacheSource type="worksheet">
    <worksheetSource ref="A1:L56" sheet="Sheet1"/>
  </cacheSource>
  <cacheFields count="16">
    <cacheField name="EmpID" numFmtId="0">
      <sharedItems containsSemiMixedTypes="0" containsString="0" containsNumber="1" containsInteger="1" minValue="1001" maxValue="1055"/>
    </cacheField>
    <cacheField name="FullName" numFmtId="0">
      <sharedItems/>
    </cacheField>
    <cacheField name="JobTitle" numFmtId="0">
      <sharedItems count="5">
        <s v="Developer"/>
        <s v="Engineer"/>
        <s v="Analyst"/>
        <s v="Consultant"/>
        <s v="Manager"/>
      </sharedItems>
    </cacheField>
    <cacheField name="Department" numFmtId="0">
      <sharedItems count="5">
        <s v="HR"/>
        <s v="Sales"/>
        <s v="IT"/>
        <s v="Finance"/>
        <s v="Marketing"/>
      </sharedItems>
    </cacheField>
    <cacheField name="Business Unit" numFmtId="0">
      <sharedItems count="3">
        <s v="Unit B"/>
        <s v="Unit A"/>
        <s v="Unit C"/>
      </sharedItems>
    </cacheField>
    <cacheField name="Gender" numFmtId="0">
      <sharedItems count="3">
        <s v="Other"/>
        <s v="Female"/>
        <s v="Male"/>
      </sharedItems>
    </cacheField>
    <cacheField name="Ethnicity" numFmtId="0">
      <sharedItems count="5">
        <s v="Hispanic"/>
        <s v="Black"/>
        <s v="White"/>
        <s v="Other"/>
        <s v="Asian"/>
      </sharedItems>
    </cacheField>
    <cacheField name="Age" numFmtId="0">
      <sharedItems containsSemiMixedTypes="0" containsString="0" containsNumber="1" containsInteger="1" minValue="22" maxValue="60"/>
    </cacheField>
    <cacheField name="HireDate" numFmtId="164">
      <sharedItems containsSemiMixedTypes="0" containsNonDate="0" containsDate="1" containsString="0" minDate="2011-01-16T00:00:00" maxDate="2023-12-17T00:00:00" count="54">
        <d v="2016-12-07T00:00:00"/>
        <d v="2019-01-29T00:00:00"/>
        <d v="2016-06-21T00:00:00"/>
        <d v="2015-03-06T00:00:00"/>
        <d v="2019-06-11T00:00:00"/>
        <d v="2022-10-19T00:00:00"/>
        <d v="2019-11-27T00:00:00"/>
        <d v="2013-11-10T00:00:00"/>
        <d v="2014-10-24T00:00:00"/>
        <d v="2011-12-20T00:00:00"/>
        <d v="2021-09-30T00:00:00"/>
        <d v="2016-01-19T00:00:00"/>
        <d v="2020-01-14T00:00:00"/>
        <d v="2019-08-15T00:00:00"/>
        <d v="2019-01-09T00:00:00"/>
        <d v="2016-01-16T00:00:00"/>
        <d v="2020-08-23T00:00:00"/>
        <d v="2023-12-16T00:00:00"/>
        <d v="2013-08-08T00:00:00"/>
        <d v="2014-10-21T00:00:00"/>
        <d v="2012-12-04T00:00:00"/>
        <d v="2019-07-31T00:00:00"/>
        <d v="2019-04-05T00:00:00"/>
        <d v="2020-05-31T00:00:00"/>
        <d v="2018-10-06T00:00:00"/>
        <d v="2023-11-17T00:00:00"/>
        <d v="2020-05-14T00:00:00"/>
        <d v="2022-10-29T00:00:00"/>
        <d v="2016-01-15T00:00:00"/>
        <d v="2022-04-02T00:00:00"/>
        <d v="2019-06-21T00:00:00"/>
        <d v="2020-09-11T00:00:00"/>
        <d v="2012-05-10T00:00:00"/>
        <d v="2022-08-07T00:00:00"/>
        <d v="2021-12-09T00:00:00"/>
        <d v="2013-06-13T00:00:00"/>
        <d v="2022-04-12T00:00:00"/>
        <d v="2020-01-28T00:00:00"/>
        <d v="2011-05-15T00:00:00"/>
        <d v="2019-05-23T00:00:00"/>
        <d v="2013-05-10T00:00:00"/>
        <d v="2019-01-13T00:00:00"/>
        <d v="2021-07-27T00:00:00"/>
        <d v="2022-12-30T00:00:00"/>
        <d v="2012-09-03T00:00:00"/>
        <d v="2015-04-12T00:00:00"/>
        <d v="2020-12-12T00:00:00"/>
        <d v="2021-06-15T00:00:00"/>
        <d v="2013-02-07T00:00:00"/>
        <d v="2021-11-04T00:00:00"/>
        <d v="2022-04-28T00:00:00"/>
        <d v="2013-03-14T00:00:00"/>
        <d v="2019-05-11T00:00:00"/>
        <d v="2011-01-16T00:00:00"/>
      </sharedItems>
    </cacheField>
    <cacheField name="Annual Salary" numFmtId="0">
      <sharedItems containsSemiMixedTypes="0" containsString="0" containsNumber="1" minValue="50339.28" maxValue="149818.29999999999"/>
    </cacheField>
    <cacheField name="Bonus%" numFmtId="0">
      <sharedItems containsSemiMixedTypes="0" containsString="0" containsNumber="1" minValue="5.15" maxValue="19.96"/>
    </cacheField>
    <cacheField name="Country" numFmtId="0">
      <sharedItems count="5">
        <s v="Germany"/>
        <s v="Australia"/>
        <s v="UK"/>
        <s v="USA"/>
        <s v="India"/>
      </sharedItems>
    </cacheField>
    <cacheField name="City" numFmtId="0">
      <sharedItems count="5">
        <s v="London"/>
        <s v="Sydney"/>
        <s v="New York"/>
        <s v="Mumbai"/>
        <s v="Berlin"/>
      </sharedItems>
    </cacheField>
    <cacheField name="ExitDate" numFmtId="0">
      <sharedItems containsNonDate="0" containsDate="1" containsString="0" containsBlank="1" minDate="2012-12-22T00:00:00" maxDate="2024-08-04T00:00:00" count="11">
        <m/>
        <d v="2020-10-04T00:00:00"/>
        <d v="2020-03-13T00:00:00"/>
        <d v="2013-08-01T00:00:00"/>
        <d v="2023-12-24T00:00:00"/>
        <d v="2024-08-03T00:00:00"/>
        <d v="2012-12-22T00:00:00"/>
        <d v="2015-12-29T00:00:00"/>
        <d v="2023-12-10T00:00:00"/>
        <d v="2023-07-02T00:00:00"/>
        <d v="2019-06-16T00:00:00"/>
      </sharedItems>
      <fieldGroup par="15" base="13">
        <rangePr groupBy="months" startDate="2012-12-22T00:00:00" endDate="2024-08-04T00:00:00"/>
        <groupItems count="14">
          <s v="(blank)"/>
          <s v="Jan"/>
          <s v="Feb"/>
          <s v="Mar"/>
          <s v="Apr"/>
          <s v="May"/>
          <s v="Jun"/>
          <s v="Jul"/>
          <s v="Aug"/>
          <s v="Sep"/>
          <s v="Oct"/>
          <s v="Nov"/>
          <s v="Dec"/>
          <s v="&gt;04-08-2024"/>
        </groupItems>
      </fieldGroup>
    </cacheField>
    <cacheField name="Quarters" numFmtId="0" databaseField="0">
      <fieldGroup base="13">
        <rangePr groupBy="quarters" startDate="2012-12-22T00:00:00" endDate="2024-08-04T00:00:00"/>
        <groupItems count="6">
          <s v="&lt;22-12-2012"/>
          <s v="Qtr1"/>
          <s v="Qtr2"/>
          <s v="Qtr3"/>
          <s v="Qtr4"/>
          <s v="&gt;04-08-2024"/>
        </groupItems>
      </fieldGroup>
    </cacheField>
    <cacheField name="Years" numFmtId="0" databaseField="0">
      <fieldGroup base="13">
        <rangePr groupBy="years" startDate="2012-12-22T00:00:00" endDate="2024-08-04T00:00:00"/>
        <groupItems count="15">
          <s v="&lt;22-12-2012"/>
          <s v="2012"/>
          <s v="2013"/>
          <s v="2014"/>
          <s v="2015"/>
          <s v="2016"/>
          <s v="2017"/>
          <s v="2018"/>
          <s v="2019"/>
          <s v="2020"/>
          <s v="2021"/>
          <s v="2022"/>
          <s v="2023"/>
          <s v="2024"/>
          <s v="&gt;04-08-2024"/>
        </groupItems>
      </fieldGroup>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55">
  <r>
    <n v="1001"/>
    <s v="Jennifer Green"/>
    <x v="0"/>
    <x v="0"/>
    <x v="0"/>
    <x v="0"/>
    <x v="0"/>
    <n v="47"/>
    <x v="0"/>
    <n v="141823.43"/>
    <n v="17.45"/>
    <x v="0"/>
    <x v="0"/>
    <x v="0"/>
  </r>
  <r>
    <n v="1002"/>
    <s v="Dr. Ronald Faulkner"/>
    <x v="1"/>
    <x v="1"/>
    <x v="1"/>
    <x v="1"/>
    <x v="1"/>
    <n v="28"/>
    <x v="1"/>
    <n v="111836.9"/>
    <n v="8.76"/>
    <x v="1"/>
    <x v="1"/>
    <x v="0"/>
  </r>
  <r>
    <n v="1003"/>
    <s v="Susan Wagner"/>
    <x v="2"/>
    <x v="0"/>
    <x v="2"/>
    <x v="2"/>
    <x v="2"/>
    <n v="52"/>
    <x v="2"/>
    <n v="105981.37"/>
    <n v="10.31"/>
    <x v="2"/>
    <x v="1"/>
    <x v="0"/>
  </r>
  <r>
    <n v="1004"/>
    <s v="Brandon Lloyd"/>
    <x v="1"/>
    <x v="1"/>
    <x v="0"/>
    <x v="1"/>
    <x v="3"/>
    <n v="38"/>
    <x v="3"/>
    <n v="56227.96"/>
    <n v="18.78"/>
    <x v="3"/>
    <x v="2"/>
    <x v="0"/>
  </r>
  <r>
    <n v="1005"/>
    <s v="Dr. Stephanie Collins"/>
    <x v="0"/>
    <x v="0"/>
    <x v="2"/>
    <x v="1"/>
    <x v="2"/>
    <n v="37"/>
    <x v="4"/>
    <n v="123027.86"/>
    <n v="15.55"/>
    <x v="3"/>
    <x v="3"/>
    <x v="0"/>
  </r>
  <r>
    <n v="1006"/>
    <s v="Samuel Rivera"/>
    <x v="1"/>
    <x v="2"/>
    <x v="1"/>
    <x v="0"/>
    <x v="0"/>
    <n v="27"/>
    <x v="5"/>
    <n v="58044.58"/>
    <n v="9.8000000000000007"/>
    <x v="1"/>
    <x v="4"/>
    <x v="0"/>
  </r>
  <r>
    <n v="1007"/>
    <s v="Eugene Bowman"/>
    <x v="3"/>
    <x v="3"/>
    <x v="2"/>
    <x v="2"/>
    <x v="3"/>
    <n v="43"/>
    <x v="6"/>
    <n v="131446.69"/>
    <n v="13.1"/>
    <x v="1"/>
    <x v="1"/>
    <x v="1"/>
  </r>
  <r>
    <n v="1008"/>
    <s v="Karen Grimes"/>
    <x v="0"/>
    <x v="0"/>
    <x v="2"/>
    <x v="1"/>
    <x v="2"/>
    <n v="58"/>
    <x v="7"/>
    <n v="74210.720000000001"/>
    <n v="7.76"/>
    <x v="4"/>
    <x v="2"/>
    <x v="0"/>
  </r>
  <r>
    <n v="1009"/>
    <s v="Thomas Moon"/>
    <x v="2"/>
    <x v="4"/>
    <x v="1"/>
    <x v="2"/>
    <x v="1"/>
    <n v="31"/>
    <x v="8"/>
    <n v="142338.1"/>
    <n v="17.64"/>
    <x v="1"/>
    <x v="4"/>
    <x v="0"/>
  </r>
  <r>
    <n v="1010"/>
    <s v="Jennifer Summers"/>
    <x v="3"/>
    <x v="3"/>
    <x v="2"/>
    <x v="2"/>
    <x v="1"/>
    <n v="59"/>
    <x v="9"/>
    <n v="132526.32999999999"/>
    <n v="11.29"/>
    <x v="2"/>
    <x v="4"/>
    <x v="0"/>
  </r>
  <r>
    <n v="1011"/>
    <s v="Lisa Clayton"/>
    <x v="2"/>
    <x v="0"/>
    <x v="0"/>
    <x v="0"/>
    <x v="4"/>
    <n v="53"/>
    <x v="10"/>
    <n v="108707.47"/>
    <n v="10.029999999999999"/>
    <x v="4"/>
    <x v="3"/>
    <x v="0"/>
  </r>
  <r>
    <n v="1012"/>
    <s v="Michele Brown"/>
    <x v="2"/>
    <x v="0"/>
    <x v="2"/>
    <x v="2"/>
    <x v="2"/>
    <n v="32"/>
    <x v="11"/>
    <n v="83253.61"/>
    <n v="17.239999999999998"/>
    <x v="3"/>
    <x v="3"/>
    <x v="2"/>
  </r>
  <r>
    <n v="1013"/>
    <s v="Robert Thomas"/>
    <x v="1"/>
    <x v="0"/>
    <x v="2"/>
    <x v="0"/>
    <x v="3"/>
    <n v="60"/>
    <x v="12"/>
    <n v="118058.91"/>
    <n v="5.4"/>
    <x v="4"/>
    <x v="1"/>
    <x v="0"/>
  </r>
  <r>
    <n v="1014"/>
    <s v="Bobby Flores"/>
    <x v="4"/>
    <x v="4"/>
    <x v="1"/>
    <x v="1"/>
    <x v="4"/>
    <n v="24"/>
    <x v="13"/>
    <n v="110550.42"/>
    <n v="7.92"/>
    <x v="4"/>
    <x v="2"/>
    <x v="0"/>
  </r>
  <r>
    <n v="1015"/>
    <s v="Mrs. Elizabeth Carter MD"/>
    <x v="4"/>
    <x v="0"/>
    <x v="2"/>
    <x v="1"/>
    <x v="3"/>
    <n v="28"/>
    <x v="14"/>
    <n v="133590.26999999999"/>
    <n v="6.05"/>
    <x v="3"/>
    <x v="0"/>
    <x v="0"/>
  </r>
  <r>
    <n v="1016"/>
    <s v="Kimberly Maynard"/>
    <x v="1"/>
    <x v="0"/>
    <x v="2"/>
    <x v="1"/>
    <x v="4"/>
    <n v="60"/>
    <x v="15"/>
    <n v="60092.12"/>
    <n v="19.82"/>
    <x v="4"/>
    <x v="0"/>
    <x v="0"/>
  </r>
  <r>
    <n v="1017"/>
    <s v="Donna Davis"/>
    <x v="0"/>
    <x v="1"/>
    <x v="1"/>
    <x v="0"/>
    <x v="1"/>
    <n v="25"/>
    <x v="16"/>
    <n v="128864.83"/>
    <n v="7.37"/>
    <x v="4"/>
    <x v="0"/>
    <x v="0"/>
  </r>
  <r>
    <n v="1018"/>
    <s v="Kenneth Roberts"/>
    <x v="4"/>
    <x v="1"/>
    <x v="0"/>
    <x v="0"/>
    <x v="1"/>
    <n v="22"/>
    <x v="17"/>
    <n v="97162.54"/>
    <n v="11.15"/>
    <x v="1"/>
    <x v="1"/>
    <x v="0"/>
  </r>
  <r>
    <n v="1019"/>
    <s v="Amanda Zavala"/>
    <x v="2"/>
    <x v="4"/>
    <x v="2"/>
    <x v="1"/>
    <x v="1"/>
    <n v="57"/>
    <x v="18"/>
    <n v="119082.28"/>
    <n v="11.87"/>
    <x v="3"/>
    <x v="0"/>
    <x v="0"/>
  </r>
  <r>
    <n v="1020"/>
    <s v="Brandon Todd"/>
    <x v="3"/>
    <x v="3"/>
    <x v="1"/>
    <x v="2"/>
    <x v="0"/>
    <n v="44"/>
    <x v="19"/>
    <n v="111013.57"/>
    <n v="15.1"/>
    <x v="1"/>
    <x v="1"/>
    <x v="0"/>
  </r>
  <r>
    <n v="1021"/>
    <s v="Stephanie Leblanc"/>
    <x v="2"/>
    <x v="4"/>
    <x v="2"/>
    <x v="1"/>
    <x v="4"/>
    <n v="22"/>
    <x v="20"/>
    <n v="109457.69"/>
    <n v="15.48"/>
    <x v="4"/>
    <x v="3"/>
    <x v="3"/>
  </r>
  <r>
    <n v="1022"/>
    <s v="Sara Warren"/>
    <x v="0"/>
    <x v="4"/>
    <x v="2"/>
    <x v="0"/>
    <x v="3"/>
    <n v="48"/>
    <x v="21"/>
    <n v="53154.55"/>
    <n v="18.079999999999998"/>
    <x v="1"/>
    <x v="4"/>
    <x v="0"/>
  </r>
  <r>
    <n v="1023"/>
    <s v="Sarah Jacobson"/>
    <x v="4"/>
    <x v="2"/>
    <x v="0"/>
    <x v="2"/>
    <x v="2"/>
    <n v="32"/>
    <x v="22"/>
    <n v="94636.47"/>
    <n v="18.27"/>
    <x v="1"/>
    <x v="1"/>
    <x v="0"/>
  </r>
  <r>
    <n v="1024"/>
    <s v="Jennifer Hill"/>
    <x v="4"/>
    <x v="4"/>
    <x v="0"/>
    <x v="1"/>
    <x v="0"/>
    <n v="25"/>
    <x v="23"/>
    <n v="130904.59"/>
    <n v="18.13"/>
    <x v="0"/>
    <x v="3"/>
    <x v="0"/>
  </r>
  <r>
    <n v="1025"/>
    <s v="Whitney Stark"/>
    <x v="4"/>
    <x v="2"/>
    <x v="1"/>
    <x v="1"/>
    <x v="0"/>
    <n v="42"/>
    <x v="24"/>
    <n v="50339.28"/>
    <n v="5.21"/>
    <x v="3"/>
    <x v="1"/>
    <x v="0"/>
  </r>
  <r>
    <n v="1026"/>
    <s v="Frederick Wilson"/>
    <x v="1"/>
    <x v="0"/>
    <x v="2"/>
    <x v="0"/>
    <x v="1"/>
    <n v="41"/>
    <x v="25"/>
    <n v="77998.27"/>
    <n v="19.68"/>
    <x v="3"/>
    <x v="4"/>
    <x v="0"/>
  </r>
  <r>
    <n v="1027"/>
    <s v="Sarah Sanchez"/>
    <x v="0"/>
    <x v="0"/>
    <x v="1"/>
    <x v="1"/>
    <x v="0"/>
    <n v="29"/>
    <x v="26"/>
    <n v="136135.99"/>
    <n v="7"/>
    <x v="1"/>
    <x v="0"/>
    <x v="0"/>
  </r>
  <r>
    <n v="1028"/>
    <s v="Daniel Norton"/>
    <x v="1"/>
    <x v="3"/>
    <x v="1"/>
    <x v="2"/>
    <x v="4"/>
    <n v="35"/>
    <x v="27"/>
    <n v="118099.68"/>
    <n v="13.38"/>
    <x v="2"/>
    <x v="1"/>
    <x v="4"/>
  </r>
  <r>
    <n v="1029"/>
    <s v="Antonio Logan"/>
    <x v="4"/>
    <x v="1"/>
    <x v="2"/>
    <x v="1"/>
    <x v="0"/>
    <n v="49"/>
    <x v="28"/>
    <n v="87244.93"/>
    <n v="13.07"/>
    <x v="4"/>
    <x v="4"/>
    <x v="0"/>
  </r>
  <r>
    <n v="1030"/>
    <s v="Robert Walters"/>
    <x v="4"/>
    <x v="2"/>
    <x v="1"/>
    <x v="1"/>
    <x v="2"/>
    <n v="43"/>
    <x v="29"/>
    <n v="128962.32"/>
    <n v="15.78"/>
    <x v="2"/>
    <x v="1"/>
    <x v="0"/>
  </r>
  <r>
    <n v="1031"/>
    <s v="Alyssa Reid"/>
    <x v="2"/>
    <x v="2"/>
    <x v="1"/>
    <x v="0"/>
    <x v="2"/>
    <n v="45"/>
    <x v="30"/>
    <n v="89479.2"/>
    <n v="13.23"/>
    <x v="2"/>
    <x v="2"/>
    <x v="5"/>
  </r>
  <r>
    <n v="1032"/>
    <s v="Barbara Davis"/>
    <x v="1"/>
    <x v="0"/>
    <x v="0"/>
    <x v="2"/>
    <x v="3"/>
    <n v="26"/>
    <x v="31"/>
    <n v="80267.070000000007"/>
    <n v="17.53"/>
    <x v="2"/>
    <x v="4"/>
    <x v="0"/>
  </r>
  <r>
    <n v="1033"/>
    <s v="Chloe Arellano"/>
    <x v="3"/>
    <x v="4"/>
    <x v="0"/>
    <x v="1"/>
    <x v="2"/>
    <n v="29"/>
    <x v="32"/>
    <n v="97908.65"/>
    <n v="15.49"/>
    <x v="0"/>
    <x v="2"/>
    <x v="6"/>
  </r>
  <r>
    <n v="1034"/>
    <s v="Daniel Owen"/>
    <x v="1"/>
    <x v="2"/>
    <x v="2"/>
    <x v="0"/>
    <x v="0"/>
    <n v="27"/>
    <x v="33"/>
    <n v="56583.47"/>
    <n v="6.27"/>
    <x v="4"/>
    <x v="2"/>
    <x v="0"/>
  </r>
  <r>
    <n v="1035"/>
    <s v="Jeffery Garcia"/>
    <x v="4"/>
    <x v="4"/>
    <x v="2"/>
    <x v="0"/>
    <x v="2"/>
    <n v="50"/>
    <x v="34"/>
    <n v="142015.26999999999"/>
    <n v="16.82"/>
    <x v="4"/>
    <x v="4"/>
    <x v="0"/>
  </r>
  <r>
    <n v="1036"/>
    <s v="Matthew Bell"/>
    <x v="1"/>
    <x v="3"/>
    <x v="2"/>
    <x v="2"/>
    <x v="0"/>
    <n v="34"/>
    <x v="19"/>
    <n v="85852.04"/>
    <n v="5.96"/>
    <x v="3"/>
    <x v="1"/>
    <x v="7"/>
  </r>
  <r>
    <n v="1037"/>
    <s v="John Carlson"/>
    <x v="1"/>
    <x v="0"/>
    <x v="0"/>
    <x v="1"/>
    <x v="2"/>
    <n v="35"/>
    <x v="35"/>
    <n v="114099.73"/>
    <n v="19.96"/>
    <x v="4"/>
    <x v="1"/>
    <x v="0"/>
  </r>
  <r>
    <n v="1038"/>
    <s v="Ian Dennis"/>
    <x v="1"/>
    <x v="4"/>
    <x v="0"/>
    <x v="1"/>
    <x v="3"/>
    <n v="31"/>
    <x v="36"/>
    <n v="60474.63"/>
    <n v="13.94"/>
    <x v="0"/>
    <x v="3"/>
    <x v="8"/>
  </r>
  <r>
    <n v="1039"/>
    <s v="Michael Levy"/>
    <x v="0"/>
    <x v="1"/>
    <x v="0"/>
    <x v="0"/>
    <x v="2"/>
    <n v="53"/>
    <x v="37"/>
    <n v="149818.29999999999"/>
    <n v="14.53"/>
    <x v="4"/>
    <x v="1"/>
    <x v="0"/>
  </r>
  <r>
    <n v="1040"/>
    <s v="Brooke Martin"/>
    <x v="1"/>
    <x v="0"/>
    <x v="0"/>
    <x v="0"/>
    <x v="2"/>
    <n v="42"/>
    <x v="38"/>
    <n v="53546.83"/>
    <n v="7.23"/>
    <x v="2"/>
    <x v="1"/>
    <x v="0"/>
  </r>
  <r>
    <n v="1041"/>
    <s v="Kyle Ramos"/>
    <x v="0"/>
    <x v="1"/>
    <x v="0"/>
    <x v="0"/>
    <x v="0"/>
    <n v="26"/>
    <x v="39"/>
    <n v="129994.58"/>
    <n v="12.75"/>
    <x v="3"/>
    <x v="2"/>
    <x v="0"/>
  </r>
  <r>
    <n v="1042"/>
    <s v="Michael Mccullough"/>
    <x v="4"/>
    <x v="3"/>
    <x v="1"/>
    <x v="1"/>
    <x v="2"/>
    <n v="32"/>
    <x v="40"/>
    <n v="130064.54"/>
    <n v="18.03"/>
    <x v="0"/>
    <x v="0"/>
    <x v="0"/>
  </r>
  <r>
    <n v="1043"/>
    <s v="Mariah Price"/>
    <x v="3"/>
    <x v="1"/>
    <x v="1"/>
    <x v="0"/>
    <x v="4"/>
    <n v="55"/>
    <x v="41"/>
    <n v="125784.64"/>
    <n v="19.86"/>
    <x v="0"/>
    <x v="3"/>
    <x v="0"/>
  </r>
  <r>
    <n v="1044"/>
    <s v="Justin Smith"/>
    <x v="3"/>
    <x v="4"/>
    <x v="0"/>
    <x v="1"/>
    <x v="3"/>
    <n v="59"/>
    <x v="42"/>
    <n v="73357.11"/>
    <n v="17.97"/>
    <x v="3"/>
    <x v="2"/>
    <x v="0"/>
  </r>
  <r>
    <n v="1045"/>
    <s v="Patrick Stephens"/>
    <x v="2"/>
    <x v="1"/>
    <x v="2"/>
    <x v="1"/>
    <x v="2"/>
    <n v="26"/>
    <x v="43"/>
    <n v="99351"/>
    <n v="8.93"/>
    <x v="2"/>
    <x v="4"/>
    <x v="0"/>
  </r>
  <r>
    <n v="1046"/>
    <s v="Troy Bell"/>
    <x v="0"/>
    <x v="0"/>
    <x v="1"/>
    <x v="0"/>
    <x v="1"/>
    <n v="37"/>
    <x v="44"/>
    <n v="78708.83"/>
    <n v="17.45"/>
    <x v="3"/>
    <x v="2"/>
    <x v="0"/>
  </r>
  <r>
    <n v="1047"/>
    <s v="Leslie Mcclain"/>
    <x v="1"/>
    <x v="4"/>
    <x v="2"/>
    <x v="0"/>
    <x v="4"/>
    <n v="31"/>
    <x v="45"/>
    <n v="131028.85"/>
    <n v="10.29"/>
    <x v="3"/>
    <x v="1"/>
    <x v="0"/>
  </r>
  <r>
    <n v="1048"/>
    <s v="Eric Goodman"/>
    <x v="0"/>
    <x v="0"/>
    <x v="1"/>
    <x v="1"/>
    <x v="1"/>
    <n v="23"/>
    <x v="46"/>
    <n v="53246.55"/>
    <n v="14.26"/>
    <x v="2"/>
    <x v="2"/>
    <x v="0"/>
  </r>
  <r>
    <n v="1049"/>
    <s v="Kristopher Hale"/>
    <x v="2"/>
    <x v="2"/>
    <x v="0"/>
    <x v="1"/>
    <x v="4"/>
    <n v="25"/>
    <x v="47"/>
    <n v="111011.97"/>
    <n v="12.01"/>
    <x v="2"/>
    <x v="2"/>
    <x v="0"/>
  </r>
  <r>
    <n v="1050"/>
    <s v="Mark Gray"/>
    <x v="3"/>
    <x v="3"/>
    <x v="1"/>
    <x v="1"/>
    <x v="2"/>
    <n v="29"/>
    <x v="48"/>
    <n v="101900.73"/>
    <n v="16.78"/>
    <x v="4"/>
    <x v="2"/>
    <x v="0"/>
  </r>
  <r>
    <n v="1051"/>
    <s v="Jennifer Morales"/>
    <x v="0"/>
    <x v="3"/>
    <x v="1"/>
    <x v="1"/>
    <x v="2"/>
    <n v="26"/>
    <x v="49"/>
    <n v="145649.75"/>
    <n v="18.53"/>
    <x v="3"/>
    <x v="4"/>
    <x v="0"/>
  </r>
  <r>
    <n v="1052"/>
    <s v="Patricia Fletcher"/>
    <x v="4"/>
    <x v="1"/>
    <x v="2"/>
    <x v="0"/>
    <x v="3"/>
    <n v="35"/>
    <x v="50"/>
    <n v="72965.52"/>
    <n v="16.649999999999999"/>
    <x v="1"/>
    <x v="1"/>
    <x v="0"/>
  </r>
  <r>
    <n v="1053"/>
    <s v="David Moore"/>
    <x v="2"/>
    <x v="0"/>
    <x v="1"/>
    <x v="1"/>
    <x v="3"/>
    <n v="49"/>
    <x v="51"/>
    <n v="142288.06"/>
    <n v="19.04"/>
    <x v="0"/>
    <x v="2"/>
    <x v="0"/>
  </r>
  <r>
    <n v="1054"/>
    <s v="Lindsey Smith"/>
    <x v="1"/>
    <x v="0"/>
    <x v="0"/>
    <x v="1"/>
    <x v="0"/>
    <n v="23"/>
    <x v="52"/>
    <n v="99662.48"/>
    <n v="17.96"/>
    <x v="2"/>
    <x v="0"/>
    <x v="9"/>
  </r>
  <r>
    <n v="1055"/>
    <s v="Ryan Williams"/>
    <x v="4"/>
    <x v="0"/>
    <x v="0"/>
    <x v="0"/>
    <x v="4"/>
    <n v="44"/>
    <x v="53"/>
    <n v="84787.77"/>
    <n v="5.15"/>
    <x v="4"/>
    <x v="0"/>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5" itemPrintTitles="1" createdVersion="6" indent="0" outline="1" outlineData="1" multipleFieldFilters="0" chartFormat="8">
  <location ref="A3:B9" firstHeaderRow="1" firstDataRow="1" firstDataCol="1"/>
  <pivotFields count="16">
    <pivotField showAll="0"/>
    <pivotField showAll="0"/>
    <pivotField showAll="0"/>
    <pivotField showAll="0"/>
    <pivotField showAll="0"/>
    <pivotField showAll="0">
      <items count="4">
        <item x="1"/>
        <item h="1" x="2"/>
        <item h="1" x="0"/>
        <item t="default"/>
      </items>
    </pivotField>
    <pivotField axis="axisRow" showAll="0">
      <items count="6">
        <item x="4"/>
        <item x="1"/>
        <item x="0"/>
        <item x="3"/>
        <item x="2"/>
        <item t="default"/>
      </items>
    </pivotField>
    <pivotField showAll="0"/>
    <pivotField numFmtId="164" showAll="0">
      <items count="55">
        <item x="53"/>
        <item x="38"/>
        <item x="9"/>
        <item x="32"/>
        <item x="44"/>
        <item x="20"/>
        <item x="48"/>
        <item x="51"/>
        <item x="40"/>
        <item x="35"/>
        <item x="18"/>
        <item x="7"/>
        <item x="19"/>
        <item x="8"/>
        <item x="3"/>
        <item x="45"/>
        <item x="28"/>
        <item x="15"/>
        <item x="11"/>
        <item x="2"/>
        <item x="0"/>
        <item x="24"/>
        <item x="14"/>
        <item x="41"/>
        <item x="1"/>
        <item x="22"/>
        <item x="52"/>
        <item x="39"/>
        <item x="4"/>
        <item x="30"/>
        <item x="21"/>
        <item x="13"/>
        <item x="6"/>
        <item x="12"/>
        <item x="37"/>
        <item x="26"/>
        <item x="23"/>
        <item x="16"/>
        <item x="31"/>
        <item x="46"/>
        <item x="47"/>
        <item x="42"/>
        <item x="10"/>
        <item x="49"/>
        <item x="34"/>
        <item x="29"/>
        <item x="36"/>
        <item x="50"/>
        <item x="33"/>
        <item x="5"/>
        <item x="27"/>
        <item x="43"/>
        <item x="25"/>
        <item x="17"/>
        <item t="default"/>
      </items>
    </pivotField>
    <pivotField dataField="1" showAll="0"/>
    <pivotField showAll="0"/>
    <pivotField showAll="0"/>
    <pivotField showAll="0">
      <items count="6">
        <item h="1" x="4"/>
        <item x="0"/>
        <item h="1" x="3"/>
        <item h="1" x="2"/>
        <item h="1" x="1"/>
        <item t="default"/>
      </items>
    </pivotField>
    <pivotField showAll="0">
      <items count="15">
        <item x="0"/>
        <item x="1"/>
        <item x="2"/>
        <item x="3"/>
        <item x="4"/>
        <item x="5"/>
        <item x="6"/>
        <item x="7"/>
        <item x="8"/>
        <item x="9"/>
        <item x="10"/>
        <item x="11"/>
        <item x="12"/>
        <item x="13"/>
        <item t="default"/>
      </items>
    </pivotField>
    <pivotField showAll="0" defaultSubtotal="0">
      <items count="6">
        <item x="0"/>
        <item x="1"/>
        <item x="2"/>
        <item x="3"/>
        <item x="4"/>
        <item x="5"/>
      </items>
    </pivotField>
    <pivotField showAll="0" defaultSubtotal="0">
      <items count="15">
        <item x="0"/>
        <item x="1"/>
        <item x="2"/>
        <item x="3"/>
        <item x="4"/>
        <item x="5"/>
        <item x="6"/>
        <item x="7"/>
        <item x="8"/>
        <item x="9"/>
        <item x="10"/>
        <item x="11"/>
        <item x="12"/>
        <item x="13"/>
        <item x="14"/>
      </items>
    </pivotField>
  </pivotFields>
  <rowFields count="1">
    <field x="6"/>
  </rowFields>
  <rowItems count="6">
    <i>
      <x/>
    </i>
    <i>
      <x v="1"/>
    </i>
    <i>
      <x v="2"/>
    </i>
    <i>
      <x v="3"/>
    </i>
    <i>
      <x v="4"/>
    </i>
    <i t="grand">
      <x/>
    </i>
  </rowItems>
  <colItems count="1">
    <i/>
  </colItems>
  <dataFields count="1">
    <dataField name="Average of Annual Salary" fld="9" subtotal="average" baseField="6" baseItem="3"/>
  </dataFields>
  <chartFormats count="5">
    <chartFormat chart="2" format="4"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7" format="3"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8" type="dateBetween" evalOrder="-1" id="103" name="HireDate">
      <autoFilter ref="A1">
        <filterColumn colId="0">
          <customFilters and="1">
            <customFilter operator="greaterThanOrEqual" val="43101"/>
            <customFilter operator="lessThanOrEqual" val="43465"/>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6">
  <location ref="A3:B8" firstHeaderRow="1" firstDataRow="1" firstDataCol="1"/>
  <pivotFields count="16">
    <pivotField showAll="0"/>
    <pivotField showAll="0"/>
    <pivotField axis="axisRow" showAll="0">
      <items count="6">
        <item x="2"/>
        <item x="3"/>
        <item x="0"/>
        <item x="1"/>
        <item x="4"/>
        <item t="default"/>
      </items>
    </pivotField>
    <pivotField showAll="0"/>
    <pivotField showAll="0"/>
    <pivotField showAll="0">
      <items count="4">
        <item x="1"/>
        <item h="1" x="2"/>
        <item h="1" x="0"/>
        <item t="default"/>
      </items>
    </pivotField>
    <pivotField showAll="0"/>
    <pivotField showAll="0"/>
    <pivotField numFmtId="164" showAll="0">
      <items count="55">
        <item x="53"/>
        <item x="38"/>
        <item x="9"/>
        <item x="32"/>
        <item x="44"/>
        <item x="20"/>
        <item x="48"/>
        <item x="51"/>
        <item x="40"/>
        <item x="35"/>
        <item x="18"/>
        <item x="7"/>
        <item x="19"/>
        <item x="8"/>
        <item x="3"/>
        <item x="45"/>
        <item x="28"/>
        <item x="15"/>
        <item x="11"/>
        <item x="2"/>
        <item x="0"/>
        <item x="24"/>
        <item x="14"/>
        <item x="41"/>
        <item x="1"/>
        <item x="22"/>
        <item x="52"/>
        <item x="39"/>
        <item x="4"/>
        <item x="30"/>
        <item x="21"/>
        <item x="13"/>
        <item x="6"/>
        <item x="12"/>
        <item x="37"/>
        <item x="26"/>
        <item x="23"/>
        <item x="16"/>
        <item x="31"/>
        <item x="46"/>
        <item x="47"/>
        <item x="42"/>
        <item x="10"/>
        <item x="49"/>
        <item x="34"/>
        <item x="29"/>
        <item x="36"/>
        <item x="50"/>
        <item x="33"/>
        <item x="5"/>
        <item x="27"/>
        <item x="43"/>
        <item x="25"/>
        <item x="17"/>
        <item t="default"/>
      </items>
    </pivotField>
    <pivotField dataField="1" showAll="0"/>
    <pivotField showAll="0"/>
    <pivotField showAll="0"/>
    <pivotField showAll="0">
      <items count="6">
        <item h="1" x="4"/>
        <item x="0"/>
        <item h="1" x="3"/>
        <item h="1" x="2"/>
        <item h="1" x="1"/>
        <item t="default"/>
      </items>
    </pivotField>
    <pivotField showAll="0">
      <items count="15">
        <item x="0"/>
        <item x="1"/>
        <item x="2"/>
        <item x="3"/>
        <item x="4"/>
        <item x="5"/>
        <item x="6"/>
        <item x="7"/>
        <item x="8"/>
        <item x="9"/>
        <item x="10"/>
        <item x="11"/>
        <item x="12"/>
        <item x="13"/>
        <item t="default"/>
      </items>
    </pivotField>
    <pivotField showAll="0" defaultSubtotal="0">
      <items count="6">
        <item x="0"/>
        <item x="1"/>
        <item x="2"/>
        <item x="3"/>
        <item x="4"/>
        <item x="5"/>
      </items>
    </pivotField>
    <pivotField showAll="0" defaultSubtotal="0">
      <items count="15">
        <item x="0"/>
        <item x="1"/>
        <item x="2"/>
        <item x="3"/>
        <item x="4"/>
        <item x="5"/>
        <item x="6"/>
        <item x="7"/>
        <item x="8"/>
        <item x="9"/>
        <item x="10"/>
        <item x="11"/>
        <item x="12"/>
        <item x="13"/>
        <item x="14"/>
      </items>
    </pivotField>
  </pivotFields>
  <rowFields count="1">
    <field x="2"/>
  </rowFields>
  <rowItems count="5">
    <i>
      <x/>
    </i>
    <i>
      <x v="2"/>
    </i>
    <i>
      <x v="3"/>
    </i>
    <i>
      <x v="4"/>
    </i>
    <i t="grand">
      <x/>
    </i>
  </rowItems>
  <colItems count="1">
    <i/>
  </colItems>
  <dataFields count="1">
    <dataField name="Average of Annual Salary" fld="9" subtotal="average" baseField="2" baseItem="0"/>
  </dataFields>
  <chartFormats count="4">
    <chartFormat chart="2"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8" type="dateBetween" evalOrder="-1" id="103" name="HireDate">
      <autoFilter ref="A1">
        <filterColumn colId="0">
          <customFilters and="1">
            <customFilter operator="greaterThanOrEqual" val="43101"/>
            <customFilter operator="lessThanOrEqual" val="43465"/>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6">
  <location ref="A3:B9" firstHeaderRow="1" firstDataRow="1" firstDataCol="1"/>
  <pivotFields count="16">
    <pivotField showAll="0"/>
    <pivotField showAll="0"/>
    <pivotField showAll="0"/>
    <pivotField axis="axisRow" showAll="0">
      <items count="6">
        <item x="3"/>
        <item x="0"/>
        <item x="2"/>
        <item x="4"/>
        <item x="1"/>
        <item t="default"/>
      </items>
    </pivotField>
    <pivotField showAll="0"/>
    <pivotField showAll="0">
      <items count="4">
        <item h="1" x="1"/>
        <item h="1" x="2"/>
        <item x="0"/>
        <item t="default"/>
      </items>
    </pivotField>
    <pivotField showAll="0"/>
    <pivotField showAll="0"/>
    <pivotField numFmtId="164" showAll="0">
      <items count="55">
        <item x="53"/>
        <item x="38"/>
        <item x="9"/>
        <item x="32"/>
        <item x="44"/>
        <item x="20"/>
        <item x="48"/>
        <item x="51"/>
        <item x="40"/>
        <item x="35"/>
        <item x="18"/>
        <item x="7"/>
        <item x="19"/>
        <item x="8"/>
        <item x="3"/>
        <item x="45"/>
        <item x="28"/>
        <item x="15"/>
        <item x="11"/>
        <item x="2"/>
        <item x="0"/>
        <item x="24"/>
        <item x="14"/>
        <item x="41"/>
        <item x="1"/>
        <item x="22"/>
        <item x="52"/>
        <item x="39"/>
        <item x="4"/>
        <item x="30"/>
        <item x="21"/>
        <item x="13"/>
        <item x="6"/>
        <item x="12"/>
        <item x="37"/>
        <item x="26"/>
        <item x="23"/>
        <item x="16"/>
        <item x="31"/>
        <item x="46"/>
        <item x="47"/>
        <item x="42"/>
        <item x="10"/>
        <item x="49"/>
        <item x="34"/>
        <item x="29"/>
        <item x="36"/>
        <item x="50"/>
        <item x="33"/>
        <item x="5"/>
        <item x="27"/>
        <item x="43"/>
        <item x="25"/>
        <item x="17"/>
        <item t="default"/>
      </items>
    </pivotField>
    <pivotField dataField="1" showAll="0"/>
    <pivotField showAll="0"/>
    <pivotField showAll="0"/>
    <pivotField showAll="0">
      <items count="6">
        <item x="4"/>
        <item h="1" x="0"/>
        <item h="1" x="3"/>
        <item h="1" x="2"/>
        <item h="1" x="1"/>
        <item t="default"/>
      </items>
    </pivotField>
    <pivotField showAll="0">
      <items count="15">
        <item x="0"/>
        <item x="1"/>
        <item x="2"/>
        <item x="3"/>
        <item x="4"/>
        <item x="5"/>
        <item x="6"/>
        <item x="7"/>
        <item x="8"/>
        <item x="9"/>
        <item x="10"/>
        <item x="11"/>
        <item x="12"/>
        <item x="13"/>
        <item t="default"/>
      </items>
    </pivotField>
    <pivotField showAll="0" defaultSubtotal="0">
      <items count="6">
        <item x="0"/>
        <item x="1"/>
        <item x="2"/>
        <item x="3"/>
        <item x="4"/>
        <item x="5"/>
      </items>
    </pivotField>
    <pivotField showAll="0" defaultSubtotal="0">
      <items count="15">
        <item x="0"/>
        <item x="1"/>
        <item x="2"/>
        <item x="3"/>
        <item x="4"/>
        <item x="5"/>
        <item x="6"/>
        <item x="7"/>
        <item x="8"/>
        <item x="9"/>
        <item x="10"/>
        <item x="11"/>
        <item x="12"/>
        <item x="13"/>
        <item x="14"/>
      </items>
    </pivotField>
  </pivotFields>
  <rowFields count="1">
    <field x="3"/>
  </rowFields>
  <rowItems count="6">
    <i>
      <x/>
    </i>
    <i>
      <x v="1"/>
    </i>
    <i>
      <x v="2"/>
    </i>
    <i>
      <x v="3"/>
    </i>
    <i>
      <x v="4"/>
    </i>
    <i t="grand">
      <x/>
    </i>
  </rowItems>
  <colItems count="1">
    <i/>
  </colItems>
  <dataFields count="1">
    <dataField name="Average of Annual Salary" fld="9" subtotal="average" baseField="3" baseItem="0"/>
  </dataFields>
  <chartFormats count="24">
    <chartFormat chart="3" format="1" series="1">
      <pivotArea type="data" outline="0" fieldPosition="0">
        <references count="1">
          <reference field="4294967294" count="1" selected="0">
            <x v="0"/>
          </reference>
        </references>
      </pivotArea>
    </chartFormat>
    <chartFormat chart="3" format="2">
      <pivotArea type="data" outline="0" fieldPosition="0">
        <references count="2">
          <reference field="4294967294" count="1" selected="0">
            <x v="0"/>
          </reference>
          <reference field="3" count="1" selected="0">
            <x v="0"/>
          </reference>
        </references>
      </pivotArea>
    </chartFormat>
    <chartFormat chart="3" format="3">
      <pivotArea type="data" outline="0" fieldPosition="0">
        <references count="2">
          <reference field="4294967294" count="1" selected="0">
            <x v="0"/>
          </reference>
          <reference field="3" count="1" selected="0">
            <x v="1"/>
          </reference>
        </references>
      </pivotArea>
    </chartFormat>
    <chartFormat chart="3" format="4">
      <pivotArea type="data" outline="0" fieldPosition="0">
        <references count="2">
          <reference field="4294967294" count="1" selected="0">
            <x v="0"/>
          </reference>
          <reference field="3" count="1" selected="0">
            <x v="2"/>
          </reference>
        </references>
      </pivotArea>
    </chartFormat>
    <chartFormat chart="3" format="5">
      <pivotArea type="data" outline="0" fieldPosition="0">
        <references count="2">
          <reference field="4294967294" count="1" selected="0">
            <x v="0"/>
          </reference>
          <reference field="3" count="1" selected="0">
            <x v="3"/>
          </reference>
        </references>
      </pivotArea>
    </chartFormat>
    <chartFormat chart="3" format="6">
      <pivotArea type="data" outline="0" fieldPosition="0">
        <references count="2">
          <reference field="4294967294" count="1" selected="0">
            <x v="0"/>
          </reference>
          <reference field="3" count="1" selected="0">
            <x v="4"/>
          </reference>
        </references>
      </pivotArea>
    </chartFormat>
    <chartFormat chart="2" format="1"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4" format="3">
      <pivotArea type="data" outline="0" fieldPosition="0">
        <references count="2">
          <reference field="4294967294" count="1" selected="0">
            <x v="0"/>
          </reference>
          <reference field="3" count="1" selected="0">
            <x v="0"/>
          </reference>
        </references>
      </pivotArea>
    </chartFormat>
    <chartFormat chart="4" format="4">
      <pivotArea type="data" outline="0" fieldPosition="0">
        <references count="2">
          <reference field="4294967294" count="1" selected="0">
            <x v="0"/>
          </reference>
          <reference field="3" count="1" selected="0">
            <x v="1"/>
          </reference>
        </references>
      </pivotArea>
    </chartFormat>
    <chartFormat chart="4" format="5">
      <pivotArea type="data" outline="0" fieldPosition="0">
        <references count="2">
          <reference field="4294967294" count="1" selected="0">
            <x v="0"/>
          </reference>
          <reference field="3" count="1" selected="0">
            <x v="2"/>
          </reference>
        </references>
      </pivotArea>
    </chartFormat>
    <chartFormat chart="4" format="6">
      <pivotArea type="data" outline="0" fieldPosition="0">
        <references count="2">
          <reference field="4294967294" count="1" selected="0">
            <x v="0"/>
          </reference>
          <reference field="3" count="1" selected="0">
            <x v="3"/>
          </reference>
        </references>
      </pivotArea>
    </chartFormat>
    <chartFormat chart="4" format="7">
      <pivotArea type="data" outline="0" fieldPosition="0">
        <references count="2">
          <reference field="4294967294" count="1" selected="0">
            <x v="0"/>
          </reference>
          <reference field="3" count="1" selected="0">
            <x v="4"/>
          </reference>
        </references>
      </pivotArea>
    </chartFormat>
    <chartFormat chart="5" format="14" series="1">
      <pivotArea type="data" outline="0" fieldPosition="0">
        <references count="1">
          <reference field="4294967294" count="1" selected="0">
            <x v="0"/>
          </reference>
        </references>
      </pivotArea>
    </chartFormat>
    <chartFormat chart="5" format="15">
      <pivotArea type="data" outline="0" fieldPosition="0">
        <references count="2">
          <reference field="4294967294" count="1" selected="0">
            <x v="0"/>
          </reference>
          <reference field="3" count="1" selected="0">
            <x v="0"/>
          </reference>
        </references>
      </pivotArea>
    </chartFormat>
    <chartFormat chart="5" format="16">
      <pivotArea type="data" outline="0" fieldPosition="0">
        <references count="2">
          <reference field="4294967294" count="1" selected="0">
            <x v="0"/>
          </reference>
          <reference field="3" count="1" selected="0">
            <x v="1"/>
          </reference>
        </references>
      </pivotArea>
    </chartFormat>
    <chartFormat chart="5" format="17">
      <pivotArea type="data" outline="0" fieldPosition="0">
        <references count="2">
          <reference field="4294967294" count="1" selected="0">
            <x v="0"/>
          </reference>
          <reference field="3" count="1" selected="0">
            <x v="2"/>
          </reference>
        </references>
      </pivotArea>
    </chartFormat>
    <chartFormat chart="5" format="18">
      <pivotArea type="data" outline="0" fieldPosition="0">
        <references count="2">
          <reference field="4294967294" count="1" selected="0">
            <x v="0"/>
          </reference>
          <reference field="3" count="1" selected="0">
            <x v="3"/>
          </reference>
        </references>
      </pivotArea>
    </chartFormat>
    <chartFormat chart="5" format="19">
      <pivotArea type="data" outline="0" fieldPosition="0">
        <references count="2">
          <reference field="4294967294" count="1" selected="0">
            <x v="0"/>
          </reference>
          <reference field="3" count="1" selected="0">
            <x v="4"/>
          </reference>
        </references>
      </pivotArea>
    </chartFormat>
    <chartFormat chart="2" format="2">
      <pivotArea type="data" outline="0" fieldPosition="0">
        <references count="2">
          <reference field="4294967294" count="1" selected="0">
            <x v="0"/>
          </reference>
          <reference field="3" count="1" selected="0">
            <x v="0"/>
          </reference>
        </references>
      </pivotArea>
    </chartFormat>
    <chartFormat chart="2" format="3">
      <pivotArea type="data" outline="0" fieldPosition="0">
        <references count="2">
          <reference field="4294967294" count="1" selected="0">
            <x v="0"/>
          </reference>
          <reference field="3" count="1" selected="0">
            <x v="1"/>
          </reference>
        </references>
      </pivotArea>
    </chartFormat>
    <chartFormat chart="2" format="4">
      <pivotArea type="data" outline="0" fieldPosition="0">
        <references count="2">
          <reference field="4294967294" count="1" selected="0">
            <x v="0"/>
          </reference>
          <reference field="3" count="1" selected="0">
            <x v="2"/>
          </reference>
        </references>
      </pivotArea>
    </chartFormat>
    <chartFormat chart="2" format="5">
      <pivotArea type="data" outline="0" fieldPosition="0">
        <references count="2">
          <reference field="4294967294" count="1" selected="0">
            <x v="0"/>
          </reference>
          <reference field="3" count="1" selected="0">
            <x v="3"/>
          </reference>
        </references>
      </pivotArea>
    </chartFormat>
    <chartFormat chart="2" format="6">
      <pivotArea type="data" outline="0" fieldPosition="0">
        <references count="2">
          <reference field="4294967294" count="1" selected="0">
            <x v="0"/>
          </reference>
          <reference field="3" count="1" selected="0">
            <x v="4"/>
          </reference>
        </references>
      </pivotArea>
    </chartFormat>
  </chartFormats>
  <pivotTableStyleInfo name="PivotStyleLight16" showRowHeaders="1" showColHeaders="1" showRowStripes="0" showColStripes="0" showLastColumn="1"/>
  <filters count="1">
    <filter fld="8" type="dateBetween" evalOrder="-1" id="103" name="HireDate">
      <autoFilter ref="A1">
        <filterColumn colId="0">
          <customFilters and="1">
            <customFilter operator="greaterThanOrEqual" val="43101"/>
            <customFilter operator="lessThanOrEqual" val="43465"/>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5">
  <location ref="A3:B7" firstHeaderRow="1" firstDataRow="1" firstDataCol="1"/>
  <pivotFields count="16">
    <pivotField showAll="0"/>
    <pivotField showAll="0"/>
    <pivotField showAll="0"/>
    <pivotField showAll="0"/>
    <pivotField axis="axisRow" showAll="0">
      <items count="4">
        <item x="1"/>
        <item x="0"/>
        <item x="2"/>
        <item t="default"/>
      </items>
    </pivotField>
    <pivotField showAll="0">
      <items count="4">
        <item x="1"/>
        <item h="1" x="2"/>
        <item h="1" x="0"/>
        <item t="default"/>
      </items>
    </pivotField>
    <pivotField showAll="0"/>
    <pivotField showAll="0"/>
    <pivotField numFmtId="164" showAll="0">
      <items count="55">
        <item x="53"/>
        <item x="38"/>
        <item x="9"/>
        <item x="32"/>
        <item x="44"/>
        <item x="20"/>
        <item x="48"/>
        <item x="51"/>
        <item x="40"/>
        <item x="35"/>
        <item x="18"/>
        <item x="7"/>
        <item x="19"/>
        <item x="8"/>
        <item x="3"/>
        <item x="45"/>
        <item x="28"/>
        <item x="15"/>
        <item x="11"/>
        <item x="2"/>
        <item x="0"/>
        <item x="24"/>
        <item x="14"/>
        <item x="41"/>
        <item x="1"/>
        <item x="22"/>
        <item x="52"/>
        <item x="39"/>
        <item x="4"/>
        <item x="30"/>
        <item x="21"/>
        <item x="13"/>
        <item x="6"/>
        <item x="12"/>
        <item x="37"/>
        <item x="26"/>
        <item x="23"/>
        <item x="16"/>
        <item x="31"/>
        <item x="46"/>
        <item x="47"/>
        <item x="42"/>
        <item x="10"/>
        <item x="49"/>
        <item x="34"/>
        <item x="29"/>
        <item x="36"/>
        <item x="50"/>
        <item x="33"/>
        <item x="5"/>
        <item x="27"/>
        <item x="43"/>
        <item x="25"/>
        <item x="17"/>
        <item t="default"/>
      </items>
    </pivotField>
    <pivotField dataField="1" showAll="0"/>
    <pivotField showAll="0"/>
    <pivotField showAll="0"/>
    <pivotField showAll="0">
      <items count="6">
        <item h="1" x="4"/>
        <item x="0"/>
        <item h="1" x="3"/>
        <item h="1" x="2"/>
        <item h="1" x="1"/>
        <item t="default"/>
      </items>
    </pivotField>
    <pivotField showAll="0">
      <items count="15">
        <item x="0"/>
        <item x="1"/>
        <item x="2"/>
        <item x="3"/>
        <item x="4"/>
        <item x="5"/>
        <item x="6"/>
        <item x="7"/>
        <item x="8"/>
        <item x="9"/>
        <item x="10"/>
        <item x="11"/>
        <item x="12"/>
        <item x="13"/>
        <item t="default"/>
      </items>
    </pivotField>
    <pivotField showAll="0" defaultSubtotal="0">
      <items count="6">
        <item x="0"/>
        <item x="1"/>
        <item x="2"/>
        <item x="3"/>
        <item x="4"/>
        <item x="5"/>
      </items>
    </pivotField>
    <pivotField showAll="0" defaultSubtotal="0">
      <items count="15">
        <item x="0"/>
        <item x="1"/>
        <item x="2"/>
        <item x="3"/>
        <item x="4"/>
        <item x="5"/>
        <item x="6"/>
        <item x="7"/>
        <item x="8"/>
        <item x="9"/>
        <item x="10"/>
        <item x="11"/>
        <item x="12"/>
        <item x="13"/>
        <item x="14"/>
      </items>
    </pivotField>
  </pivotFields>
  <rowFields count="1">
    <field x="4"/>
  </rowFields>
  <rowItems count="4">
    <i>
      <x/>
    </i>
    <i>
      <x v="1"/>
    </i>
    <i>
      <x v="2"/>
    </i>
    <i t="grand">
      <x/>
    </i>
  </rowItems>
  <colItems count="1">
    <i/>
  </colItems>
  <dataFields count="1">
    <dataField name="Average of Annual Salary" fld="9" subtotal="average" baseField="4" baseItem="0"/>
  </dataFields>
  <chartFormats count="4">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8" type="dateBetween" evalOrder="-1" id="126" name="HireDate">
      <autoFilter ref="A1">
        <filterColumn colId="0">
          <customFilters and="1">
            <customFilter operator="greaterThanOrEqual" val="43101"/>
            <customFilter operator="lessThanOrEqual" val="43465"/>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9">
  <location ref="A3:B12" firstHeaderRow="1" firstDataRow="1" firstDataCol="1"/>
  <pivotFields count="16">
    <pivotField showAll="0"/>
    <pivotField showAll="0"/>
    <pivotField showAll="0"/>
    <pivotField showAll="0"/>
    <pivotField showAll="0"/>
    <pivotField showAll="0">
      <items count="4">
        <item h="1" x="1"/>
        <item h="1" x="2"/>
        <item x="0"/>
        <item t="default"/>
      </items>
    </pivotField>
    <pivotField showAll="0"/>
    <pivotField showAll="0"/>
    <pivotField numFmtId="164" showAll="0">
      <items count="55">
        <item x="53"/>
        <item x="38"/>
        <item x="9"/>
        <item x="32"/>
        <item x="44"/>
        <item x="20"/>
        <item x="48"/>
        <item x="51"/>
        <item x="40"/>
        <item x="35"/>
        <item x="18"/>
        <item x="7"/>
        <item x="19"/>
        <item x="8"/>
        <item x="3"/>
        <item x="45"/>
        <item x="28"/>
        <item x="15"/>
        <item x="11"/>
        <item x="2"/>
        <item x="0"/>
        <item x="24"/>
        <item x="14"/>
        <item x="41"/>
        <item x="1"/>
        <item x="22"/>
        <item x="52"/>
        <item x="39"/>
        <item x="4"/>
        <item x="30"/>
        <item x="21"/>
        <item x="13"/>
        <item x="6"/>
        <item x="12"/>
        <item x="37"/>
        <item x="26"/>
        <item x="23"/>
        <item x="16"/>
        <item x="31"/>
        <item x="46"/>
        <item x="47"/>
        <item x="42"/>
        <item x="10"/>
        <item x="49"/>
        <item x="34"/>
        <item x="29"/>
        <item x="36"/>
        <item x="50"/>
        <item x="33"/>
        <item x="5"/>
        <item x="27"/>
        <item x="43"/>
        <item x="25"/>
        <item x="17"/>
        <item t="default"/>
      </items>
    </pivotField>
    <pivotField dataField="1" showAll="0"/>
    <pivotField showAll="0"/>
    <pivotField showAll="0"/>
    <pivotField showAll="0">
      <items count="6">
        <item h="1" x="4"/>
        <item h="1" x="0"/>
        <item x="3"/>
        <item h="1" x="2"/>
        <item h="1" x="1"/>
        <item t="default"/>
      </items>
    </pivotField>
    <pivotField axis="axisRow" showAll="0">
      <items count="15">
        <item x="0"/>
        <item x="1"/>
        <item x="2"/>
        <item x="3"/>
        <item x="4"/>
        <item x="5"/>
        <item x="6"/>
        <item x="7"/>
        <item x="8"/>
        <item x="9"/>
        <item x="10"/>
        <item x="11"/>
        <item x="12"/>
        <item x="13"/>
        <item t="default"/>
      </items>
    </pivotField>
    <pivotField axis="axisRow" showAll="0" defaultSubtotal="0">
      <items count="6">
        <item sd="0" x="0"/>
        <item sd="0" x="1"/>
        <item sd="0" x="2"/>
        <item sd="0" x="3"/>
        <item sd="0" x="4"/>
        <item sd="0" x="5"/>
      </items>
    </pivotField>
    <pivotField axis="axisRow" showAll="0" defaultSubtotal="0">
      <items count="15">
        <item sd="0" x="0"/>
        <item sd="0" x="1"/>
        <item sd="0" x="2"/>
        <item sd="0" x="3"/>
        <item sd="0" x="4"/>
        <item sd="0" x="5"/>
        <item sd="0" x="6"/>
        <item sd="0" x="7"/>
        <item sd="0" x="8"/>
        <item sd="0" x="9"/>
        <item sd="0" x="10"/>
        <item sd="0" x="11"/>
        <item sd="0" x="12"/>
        <item sd="0" x="13"/>
        <item sd="0" x="14"/>
      </items>
    </pivotField>
  </pivotFields>
  <rowFields count="3">
    <field x="15"/>
    <field x="13"/>
    <field x="14"/>
  </rowFields>
  <rowItems count="9">
    <i>
      <x/>
    </i>
    <i>
      <x v="1"/>
    </i>
    <i>
      <x v="2"/>
    </i>
    <i>
      <x v="4"/>
    </i>
    <i>
      <x v="8"/>
    </i>
    <i>
      <x v="9"/>
    </i>
    <i>
      <x v="12"/>
    </i>
    <i>
      <x v="13"/>
    </i>
    <i t="grand">
      <x/>
    </i>
  </rowItems>
  <colItems count="1">
    <i/>
  </colItems>
  <dataFields count="1">
    <dataField name="Average of Annual Salary" fld="9" subtotal="average" baseField="15" baseItem="9"/>
  </dataFields>
  <chartFormats count="3">
    <chartFormat chart="7" format="1"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8" type="dateBetween" evalOrder="-1" id="103" name="HireDate">
      <autoFilter ref="A1">
        <filterColumn colId="0">
          <customFilters and="1">
            <customFilter operator="greaterThanOrEqual" val="43101"/>
            <customFilter operator="lessThanOrEqual" val="43465"/>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Gender" sourceName="Gender">
  <pivotTables>
    <pivotTable tabId="3" name="PivotTable2"/>
    <pivotTable tabId="5" name="PivotTable4"/>
    <pivotTable tabId="2" name="PivotTable1"/>
  </pivotTables>
  <data>
    <tabular pivotCacheId="1">
      <items count="3">
        <i x="1" s="1"/>
        <i x="0"/>
        <i x="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City" sourceName="City">
  <pivotTables>
    <pivotTable tabId="3" name="PivotTable2"/>
    <pivotTable tabId="5" name="PivotTable4"/>
    <pivotTable tabId="2" name="PivotTable1"/>
  </pivotTables>
  <data>
    <tabular pivotCacheId="1">
      <items count="5">
        <i x="4"/>
        <i x="0" s="1"/>
        <i x="3"/>
        <i x="2"/>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Gender" cache="Slicer_Gender" caption="Gender" columnCount="3" showCaption="0" style="SlicerStyleLight3" rowHeight="241300"/>
  <slicer name="City" cache="Slicer_City" caption="City" style="SlicerStyleLight3"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4.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07/relationships/slicer" Target="../slicers/slicer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3:B9"/>
  <sheetViews>
    <sheetView workbookViewId="0">
      <selection activeCell="L8" sqref="L8"/>
    </sheetView>
  </sheetViews>
  <sheetFormatPr defaultRowHeight="14.5" x14ac:dyDescent="0.35"/>
  <cols>
    <col min="1" max="1" width="12.36328125" bestFit="1" customWidth="1"/>
    <col min="2" max="2" width="21.81640625" bestFit="1" customWidth="1"/>
  </cols>
  <sheetData>
    <row r="3" spans="1:2" x14ac:dyDescent="0.35">
      <c r="A3" s="3" t="s">
        <v>92</v>
      </c>
      <c r="B3" t="s">
        <v>94</v>
      </c>
    </row>
    <row r="4" spans="1:2" x14ac:dyDescent="0.35">
      <c r="A4" s="4" t="s">
        <v>86</v>
      </c>
      <c r="B4" s="5">
        <v>60092.12</v>
      </c>
    </row>
    <row r="5" spans="1:2" x14ac:dyDescent="0.35">
      <c r="A5" s="4" t="s">
        <v>84</v>
      </c>
      <c r="B5" s="5">
        <v>119082.28</v>
      </c>
    </row>
    <row r="6" spans="1:2" x14ac:dyDescent="0.35">
      <c r="A6" s="4" t="s">
        <v>83</v>
      </c>
      <c r="B6" s="5">
        <v>117899.23499999999</v>
      </c>
    </row>
    <row r="7" spans="1:2" x14ac:dyDescent="0.35">
      <c r="A7" s="4" t="s">
        <v>80</v>
      </c>
      <c r="B7" s="5">
        <v>133590.26999999999</v>
      </c>
    </row>
    <row r="8" spans="1:2" x14ac:dyDescent="0.35">
      <c r="A8" s="4" t="s">
        <v>85</v>
      </c>
      <c r="B8" s="5">
        <v>130064.54</v>
      </c>
    </row>
    <row r="9" spans="1:2" x14ac:dyDescent="0.35">
      <c r="A9" s="4" t="s">
        <v>93</v>
      </c>
      <c r="B9" s="5">
        <v>113104.61333333334</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3:B8"/>
  <sheetViews>
    <sheetView workbookViewId="0">
      <selection activeCell="L7" sqref="L7"/>
    </sheetView>
  </sheetViews>
  <sheetFormatPr defaultRowHeight="14.5" x14ac:dyDescent="0.35"/>
  <cols>
    <col min="1" max="1" width="12.36328125" bestFit="1" customWidth="1"/>
    <col min="2" max="2" width="21.81640625" bestFit="1" customWidth="1"/>
  </cols>
  <sheetData>
    <row r="3" spans="1:2" x14ac:dyDescent="0.35">
      <c r="A3" s="3" t="s">
        <v>92</v>
      </c>
      <c r="B3" t="s">
        <v>94</v>
      </c>
    </row>
    <row r="4" spans="1:2" x14ac:dyDescent="0.35">
      <c r="A4" s="4" t="s">
        <v>69</v>
      </c>
      <c r="B4" s="5">
        <v>119082.28</v>
      </c>
    </row>
    <row r="5" spans="1:2" x14ac:dyDescent="0.35">
      <c r="A5" s="4" t="s">
        <v>67</v>
      </c>
      <c r="B5" s="5">
        <v>136135.99</v>
      </c>
    </row>
    <row r="6" spans="1:2" x14ac:dyDescent="0.35">
      <c r="A6" s="4" t="s">
        <v>68</v>
      </c>
      <c r="B6" s="5">
        <v>79877.3</v>
      </c>
    </row>
    <row r="7" spans="1:2" x14ac:dyDescent="0.35">
      <c r="A7" s="4" t="s">
        <v>71</v>
      </c>
      <c r="B7" s="5">
        <v>131827.405</v>
      </c>
    </row>
    <row r="8" spans="1:2" x14ac:dyDescent="0.35">
      <c r="A8" s="4" t="s">
        <v>93</v>
      </c>
      <c r="B8" s="5">
        <v>113104.61333333334</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3:B9"/>
  <sheetViews>
    <sheetView topLeftCell="B1" workbookViewId="0">
      <selection activeCell="L9" sqref="L9"/>
    </sheetView>
  </sheetViews>
  <sheetFormatPr defaultRowHeight="14.5" x14ac:dyDescent="0.35"/>
  <cols>
    <col min="1" max="1" width="12.36328125" bestFit="1" customWidth="1"/>
    <col min="2" max="2" width="21.81640625" bestFit="1" customWidth="1"/>
  </cols>
  <sheetData>
    <row r="3" spans="1:2" x14ac:dyDescent="0.35">
      <c r="A3" s="3" t="s">
        <v>92</v>
      </c>
      <c r="B3" t="s">
        <v>94</v>
      </c>
    </row>
    <row r="4" spans="1:2" x14ac:dyDescent="0.35">
      <c r="A4" s="4" t="s">
        <v>75</v>
      </c>
      <c r="B4" s="5">
        <v>119569.16625000001</v>
      </c>
    </row>
    <row r="5" spans="1:2" x14ac:dyDescent="0.35">
      <c r="A5" s="4" t="s">
        <v>72</v>
      </c>
      <c r="B5" s="5">
        <v>98394.070526315802</v>
      </c>
    </row>
    <row r="6" spans="1:2" x14ac:dyDescent="0.35">
      <c r="A6" s="4" t="s">
        <v>74</v>
      </c>
      <c r="B6" s="5">
        <v>84151.041428571436</v>
      </c>
    </row>
    <row r="7" spans="1:2" x14ac:dyDescent="0.35">
      <c r="A7" s="4" t="s">
        <v>76</v>
      </c>
      <c r="B7" s="5">
        <v>106388.37636363637</v>
      </c>
    </row>
    <row r="8" spans="1:2" x14ac:dyDescent="0.35">
      <c r="A8" s="4" t="s">
        <v>73</v>
      </c>
      <c r="B8" s="5">
        <v>105925.12</v>
      </c>
    </row>
    <row r="9" spans="1:2" x14ac:dyDescent="0.35">
      <c r="A9" s="4" t="s">
        <v>93</v>
      </c>
      <c r="B9" s="5">
        <v>102629.47818181817</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Y26"/>
  <sheetViews>
    <sheetView showGridLines="0" showRowColHeaders="0" tabSelected="1" zoomScale="80" zoomScaleNormal="100" workbookViewId="0">
      <selection activeCell="AA4" sqref="AA4"/>
    </sheetView>
  </sheetViews>
  <sheetFormatPr defaultRowHeight="14.5" x14ac:dyDescent="0.35"/>
  <sheetData>
    <row r="1" spans="1:25" ht="49.5" customHeight="1" x14ac:dyDescent="0.75">
      <c r="A1" s="7" t="s">
        <v>98</v>
      </c>
      <c r="B1" s="7"/>
      <c r="C1" s="7"/>
      <c r="D1" s="7"/>
      <c r="E1" s="7"/>
      <c r="F1" s="7"/>
      <c r="G1" s="7"/>
      <c r="H1" s="7"/>
      <c r="I1" s="7"/>
      <c r="J1" s="7"/>
      <c r="K1" s="7"/>
      <c r="L1" s="7"/>
      <c r="M1" s="7"/>
      <c r="N1" s="7"/>
      <c r="O1" s="7"/>
      <c r="P1" s="7"/>
      <c r="Q1" s="7"/>
      <c r="R1" s="7"/>
      <c r="S1" s="7"/>
      <c r="T1" s="7"/>
      <c r="U1" s="7"/>
      <c r="V1" s="7"/>
      <c r="W1" s="7"/>
      <c r="X1" s="7"/>
      <c r="Y1" s="7"/>
    </row>
    <row r="2" spans="1:25" ht="36.5" customHeight="1" x14ac:dyDescent="0.35">
      <c r="A2" s="6" t="b">
        <v>1</v>
      </c>
      <c r="B2" s="6" t="b">
        <v>0</v>
      </c>
      <c r="C2" s="6" t="b">
        <v>1</v>
      </c>
      <c r="D2" s="6" t="b">
        <v>1</v>
      </c>
      <c r="E2" s="6" t="b">
        <v>0</v>
      </c>
      <c r="F2" s="6"/>
      <c r="G2" s="6"/>
      <c r="H2" s="6"/>
      <c r="I2" s="6"/>
      <c r="J2" s="6"/>
      <c r="K2" s="6"/>
      <c r="L2" s="6"/>
      <c r="M2" s="6"/>
      <c r="N2" s="6"/>
      <c r="O2" s="6"/>
      <c r="P2" s="6"/>
      <c r="Q2" s="6"/>
      <c r="R2" s="6"/>
      <c r="S2" s="6"/>
      <c r="T2" s="6"/>
      <c r="U2" s="6"/>
      <c r="V2" s="6"/>
      <c r="W2" s="6"/>
      <c r="X2" s="6"/>
      <c r="Y2" s="6"/>
    </row>
    <row r="3" spans="1:25" x14ac:dyDescent="0.35">
      <c r="A3" s="6"/>
      <c r="B3" s="6"/>
      <c r="C3" s="6"/>
      <c r="D3" s="6"/>
      <c r="E3" s="6"/>
      <c r="F3" s="6"/>
      <c r="G3" s="6"/>
      <c r="H3" s="6"/>
      <c r="I3" s="6"/>
      <c r="J3" s="6"/>
      <c r="K3" s="6"/>
      <c r="L3" s="6"/>
      <c r="M3" s="6"/>
      <c r="N3" s="6"/>
      <c r="O3" s="6"/>
      <c r="P3" s="6"/>
      <c r="Q3" s="6"/>
      <c r="R3" s="6"/>
      <c r="S3" s="6"/>
      <c r="T3" s="6"/>
      <c r="U3" s="6"/>
      <c r="V3" s="6"/>
      <c r="W3" s="6"/>
      <c r="X3" s="6"/>
      <c r="Y3" s="6"/>
    </row>
    <row r="4" spans="1:25" ht="106.5" customHeight="1" x14ac:dyDescent="0.35">
      <c r="A4" s="6"/>
      <c r="B4" s="6"/>
      <c r="C4" s="6"/>
      <c r="D4" s="6"/>
      <c r="E4" s="6"/>
      <c r="F4" s="6"/>
      <c r="G4" s="6"/>
      <c r="H4" s="6"/>
      <c r="I4" s="6"/>
      <c r="J4" s="6"/>
      <c r="K4" s="6"/>
      <c r="L4" s="6"/>
      <c r="M4" s="6"/>
      <c r="N4" s="6"/>
      <c r="O4" s="6"/>
      <c r="P4" s="6"/>
      <c r="Q4" s="6"/>
      <c r="R4" s="6"/>
      <c r="S4" s="6"/>
      <c r="T4" s="6"/>
      <c r="U4" s="6"/>
      <c r="V4" s="6"/>
      <c r="W4" s="6"/>
      <c r="X4" s="6"/>
      <c r="Y4" s="6"/>
    </row>
    <row r="5" spans="1:25" x14ac:dyDescent="0.35">
      <c r="A5" s="6"/>
      <c r="B5" s="6"/>
      <c r="C5" s="6"/>
      <c r="D5" s="6"/>
      <c r="E5" s="6"/>
      <c r="F5" s="6"/>
      <c r="G5" s="6"/>
      <c r="H5" s="6"/>
      <c r="I5" s="6"/>
      <c r="J5" s="6"/>
      <c r="K5" s="6"/>
      <c r="L5" s="6"/>
      <c r="M5" s="6"/>
      <c r="N5" s="6"/>
      <c r="O5" s="6"/>
      <c r="P5" s="6"/>
      <c r="Q5" s="6"/>
      <c r="R5" s="6"/>
      <c r="S5" s="6"/>
      <c r="T5" s="6"/>
      <c r="U5" s="6"/>
      <c r="V5" s="6"/>
      <c r="W5" s="6"/>
      <c r="X5" s="6"/>
      <c r="Y5" s="6"/>
    </row>
    <row r="6" spans="1:25" x14ac:dyDescent="0.35">
      <c r="A6" s="6"/>
      <c r="B6" s="6"/>
      <c r="C6" s="6"/>
      <c r="D6" s="6"/>
      <c r="E6" s="6"/>
      <c r="F6" s="6"/>
      <c r="G6" s="6"/>
      <c r="H6" s="6"/>
      <c r="I6" s="6"/>
      <c r="J6" s="6"/>
      <c r="K6" s="6"/>
      <c r="L6" s="6"/>
      <c r="M6" s="6"/>
      <c r="N6" s="6"/>
      <c r="O6" s="6"/>
      <c r="P6" s="6"/>
      <c r="Q6" s="6"/>
      <c r="R6" s="6"/>
      <c r="S6" s="6"/>
      <c r="T6" s="6"/>
      <c r="U6" s="6"/>
      <c r="V6" s="6"/>
      <c r="W6" s="6"/>
      <c r="X6" s="6"/>
      <c r="Y6" s="6"/>
    </row>
    <row r="7" spans="1:25" x14ac:dyDescent="0.35">
      <c r="A7" s="6"/>
      <c r="B7" s="6"/>
      <c r="C7" s="6"/>
      <c r="D7" s="6"/>
      <c r="E7" s="6"/>
      <c r="F7" s="6"/>
      <c r="G7" s="6"/>
      <c r="H7" s="6"/>
      <c r="I7" s="6"/>
      <c r="J7" s="6"/>
      <c r="K7" s="6"/>
      <c r="L7" s="6"/>
      <c r="M7" s="6"/>
      <c r="N7" s="6"/>
      <c r="O7" s="6"/>
      <c r="P7" s="6"/>
      <c r="Q7" s="6"/>
      <c r="R7" s="6"/>
      <c r="S7" s="6"/>
      <c r="T7" s="6"/>
      <c r="U7" s="6"/>
      <c r="V7" s="6"/>
      <c r="W7" s="6"/>
      <c r="X7" s="6"/>
      <c r="Y7" s="6"/>
    </row>
    <row r="8" spans="1:25" x14ac:dyDescent="0.35">
      <c r="A8" s="6"/>
      <c r="B8" s="6"/>
      <c r="C8" s="6"/>
      <c r="D8" s="6"/>
      <c r="E8" s="6"/>
      <c r="F8" s="6"/>
      <c r="G8" s="6"/>
      <c r="H8" s="6"/>
      <c r="I8" s="6"/>
      <c r="J8" s="6"/>
      <c r="K8" s="6"/>
      <c r="L8" s="6"/>
      <c r="M8" s="6"/>
      <c r="N8" s="6"/>
      <c r="O8" s="6"/>
      <c r="P8" s="6"/>
      <c r="Q8" s="6"/>
      <c r="R8" s="6"/>
      <c r="S8" s="6"/>
      <c r="T8" s="6"/>
      <c r="U8" s="6"/>
      <c r="V8" s="6"/>
      <c r="W8" s="6"/>
      <c r="X8" s="6"/>
      <c r="Y8" s="6"/>
    </row>
    <row r="9" spans="1:25" x14ac:dyDescent="0.35">
      <c r="A9" s="6"/>
      <c r="B9" s="6"/>
      <c r="C9" s="6"/>
      <c r="D9" s="6"/>
      <c r="E9" s="6"/>
      <c r="F9" s="6"/>
      <c r="G9" s="6"/>
      <c r="H9" s="6"/>
      <c r="I9" s="6"/>
      <c r="J9" s="6"/>
      <c r="K9" s="6"/>
      <c r="L9" s="6"/>
      <c r="M9" s="6"/>
      <c r="N9" s="6"/>
      <c r="O9" s="6"/>
      <c r="P9" s="6"/>
      <c r="Q9" s="6"/>
      <c r="R9" s="6"/>
      <c r="S9" s="6"/>
      <c r="T9" s="6"/>
      <c r="U9" s="6"/>
      <c r="V9" s="6"/>
      <c r="W9" s="6"/>
      <c r="X9" s="6"/>
      <c r="Y9" s="6"/>
    </row>
    <row r="10" spans="1:25" x14ac:dyDescent="0.35">
      <c r="A10" s="6"/>
      <c r="B10" s="6"/>
      <c r="C10" s="6"/>
      <c r="D10" s="6"/>
      <c r="E10" s="6"/>
      <c r="F10" s="6"/>
      <c r="G10" s="6"/>
      <c r="H10" s="6"/>
      <c r="I10" s="6"/>
      <c r="J10" s="6"/>
      <c r="K10" s="6"/>
      <c r="L10" s="6"/>
      <c r="M10" s="6"/>
      <c r="N10" s="6"/>
      <c r="O10" s="6"/>
      <c r="P10" s="6"/>
      <c r="Q10" s="6"/>
      <c r="R10" s="6"/>
      <c r="S10" s="6"/>
      <c r="T10" s="6"/>
      <c r="U10" s="6"/>
      <c r="V10" s="6"/>
      <c r="W10" s="6"/>
      <c r="X10" s="6"/>
      <c r="Y10" s="6"/>
    </row>
    <row r="11" spans="1:25" x14ac:dyDescent="0.35">
      <c r="A11" s="6"/>
      <c r="B11" s="6"/>
      <c r="C11" s="6"/>
      <c r="D11" s="6"/>
      <c r="E11" s="6"/>
      <c r="F11" s="6"/>
      <c r="G11" s="6"/>
      <c r="H11" s="6"/>
      <c r="I11" s="6"/>
      <c r="J11" s="6"/>
      <c r="K11" s="6"/>
      <c r="L11" s="6"/>
      <c r="M11" s="6"/>
      <c r="N11" s="6"/>
      <c r="O11" s="6"/>
      <c r="P11" s="6"/>
      <c r="Q11" s="6"/>
      <c r="R11" s="6"/>
      <c r="S11" s="6"/>
      <c r="T11" s="6"/>
      <c r="U11" s="6"/>
      <c r="V11" s="6"/>
      <c r="W11" s="6"/>
      <c r="X11" s="6"/>
      <c r="Y11" s="6"/>
    </row>
    <row r="12" spans="1:25" x14ac:dyDescent="0.35">
      <c r="A12" s="6"/>
      <c r="B12" s="6"/>
      <c r="C12" s="6"/>
      <c r="D12" s="6"/>
      <c r="E12" s="6"/>
      <c r="F12" s="6"/>
      <c r="G12" s="6"/>
      <c r="H12" s="6"/>
      <c r="I12" s="6"/>
      <c r="J12" s="6"/>
      <c r="K12" s="6"/>
      <c r="L12" s="6"/>
      <c r="M12" s="6"/>
      <c r="N12" s="6"/>
      <c r="O12" s="6"/>
      <c r="P12" s="6"/>
      <c r="Q12" s="6"/>
      <c r="R12" s="6"/>
      <c r="S12" s="6"/>
      <c r="T12" s="6"/>
      <c r="U12" s="6"/>
      <c r="V12" s="6"/>
      <c r="W12" s="6"/>
      <c r="X12" s="6"/>
      <c r="Y12" s="6"/>
    </row>
    <row r="13" spans="1:25" x14ac:dyDescent="0.35">
      <c r="A13" s="6"/>
      <c r="B13" s="6"/>
      <c r="C13" s="6"/>
      <c r="D13" s="6"/>
      <c r="E13" s="6"/>
      <c r="F13" s="6"/>
      <c r="G13" s="6"/>
      <c r="H13" s="6"/>
      <c r="I13" s="6"/>
      <c r="J13" s="6"/>
      <c r="K13" s="6"/>
      <c r="L13" s="6"/>
      <c r="M13" s="6"/>
      <c r="N13" s="6"/>
      <c r="O13" s="6"/>
      <c r="P13" s="6"/>
      <c r="Q13" s="6"/>
      <c r="R13" s="6"/>
      <c r="S13" s="6"/>
      <c r="T13" s="6"/>
      <c r="U13" s="6"/>
      <c r="V13" s="6"/>
      <c r="W13" s="6"/>
      <c r="X13" s="6"/>
      <c r="Y13" s="6"/>
    </row>
    <row r="14" spans="1:25" x14ac:dyDescent="0.35">
      <c r="A14" s="6"/>
      <c r="B14" s="6"/>
      <c r="C14" s="6"/>
      <c r="D14" s="6"/>
      <c r="E14" s="6"/>
      <c r="F14" s="6"/>
      <c r="G14" s="6"/>
      <c r="H14" s="6"/>
      <c r="I14" s="6"/>
      <c r="J14" s="6"/>
      <c r="K14" s="6"/>
      <c r="L14" s="6"/>
      <c r="M14" s="6"/>
      <c r="N14" s="6"/>
      <c r="O14" s="6"/>
      <c r="P14" s="6"/>
      <c r="Q14" s="6"/>
      <c r="R14" s="6"/>
      <c r="S14" s="6"/>
      <c r="T14" s="6"/>
      <c r="U14" s="6"/>
      <c r="V14" s="6"/>
      <c r="W14" s="6"/>
      <c r="X14" s="6"/>
      <c r="Y14" s="6"/>
    </row>
    <row r="15" spans="1:25" x14ac:dyDescent="0.35">
      <c r="A15" s="6"/>
      <c r="B15" s="6"/>
      <c r="C15" s="6"/>
      <c r="D15" s="6"/>
      <c r="E15" s="6"/>
      <c r="F15" s="6"/>
      <c r="G15" s="6"/>
      <c r="H15" s="6"/>
      <c r="I15" s="6"/>
      <c r="J15" s="6"/>
      <c r="K15" s="6"/>
      <c r="L15" s="6"/>
      <c r="M15" s="6"/>
      <c r="N15" s="6"/>
      <c r="O15" s="6"/>
      <c r="P15" s="6"/>
      <c r="Q15" s="6"/>
      <c r="R15" s="6"/>
      <c r="S15" s="6"/>
      <c r="T15" s="6"/>
      <c r="U15" s="6"/>
      <c r="V15" s="6"/>
      <c r="W15" s="6"/>
      <c r="X15" s="6"/>
      <c r="Y15" s="6"/>
    </row>
    <row r="16" spans="1:25" x14ac:dyDescent="0.35">
      <c r="A16" s="6"/>
      <c r="B16" s="6"/>
      <c r="C16" s="6"/>
      <c r="D16" s="6"/>
      <c r="E16" s="6"/>
      <c r="F16" s="6"/>
      <c r="G16" s="6"/>
      <c r="H16" s="6"/>
      <c r="I16" s="6"/>
      <c r="J16" s="6"/>
      <c r="K16" s="6"/>
      <c r="L16" s="6"/>
      <c r="M16" s="6"/>
      <c r="N16" s="6"/>
      <c r="O16" s="6"/>
      <c r="P16" s="6"/>
      <c r="Q16" s="6"/>
      <c r="R16" s="6"/>
      <c r="S16" s="6"/>
      <c r="T16" s="6"/>
      <c r="U16" s="6"/>
      <c r="V16" s="6"/>
      <c r="W16" s="6"/>
      <c r="X16" s="6"/>
      <c r="Y16" s="6"/>
    </row>
    <row r="17" spans="1:25" x14ac:dyDescent="0.35">
      <c r="A17" s="6"/>
      <c r="B17" s="6"/>
      <c r="C17" s="6"/>
      <c r="D17" s="6"/>
      <c r="E17" s="6"/>
      <c r="F17" s="6"/>
      <c r="G17" s="6"/>
      <c r="H17" s="6"/>
      <c r="I17" s="6"/>
      <c r="J17" s="6"/>
      <c r="K17" s="6"/>
      <c r="L17" s="6"/>
      <c r="M17" s="6"/>
      <c r="N17" s="6"/>
      <c r="O17" s="6"/>
      <c r="P17" s="6"/>
      <c r="Q17" s="6"/>
      <c r="R17" s="6"/>
      <c r="S17" s="6"/>
      <c r="T17" s="6"/>
      <c r="U17" s="6"/>
      <c r="V17" s="6"/>
      <c r="W17" s="6"/>
      <c r="X17" s="6"/>
      <c r="Y17" s="6"/>
    </row>
    <row r="18" spans="1:25" x14ac:dyDescent="0.35">
      <c r="A18" s="6"/>
      <c r="B18" s="6"/>
      <c r="C18" s="6"/>
      <c r="D18" s="6"/>
      <c r="E18" s="6"/>
      <c r="F18" s="6"/>
      <c r="G18" s="6"/>
      <c r="H18" s="6"/>
      <c r="I18" s="6"/>
      <c r="J18" s="6"/>
      <c r="K18" s="6"/>
      <c r="L18" s="6"/>
      <c r="M18" s="6"/>
      <c r="N18" s="6"/>
      <c r="O18" s="6"/>
      <c r="P18" s="6"/>
      <c r="Q18" s="6"/>
      <c r="R18" s="6"/>
      <c r="S18" s="6"/>
      <c r="T18" s="6"/>
      <c r="U18" s="6"/>
      <c r="V18" s="6"/>
      <c r="W18" s="6"/>
      <c r="X18" s="6"/>
      <c r="Y18" s="6"/>
    </row>
    <row r="19" spans="1:25" x14ac:dyDescent="0.35">
      <c r="A19" s="6"/>
      <c r="B19" s="6"/>
      <c r="C19" s="6"/>
      <c r="D19" s="6"/>
      <c r="E19" s="6"/>
      <c r="F19" s="6"/>
      <c r="G19" s="6"/>
      <c r="H19" s="6"/>
      <c r="I19" s="6"/>
      <c r="J19" s="6"/>
      <c r="K19" s="6"/>
      <c r="L19" s="6"/>
      <c r="M19" s="6"/>
      <c r="N19" s="6"/>
      <c r="O19" s="6"/>
      <c r="P19" s="6"/>
      <c r="Q19" s="6"/>
      <c r="R19" s="6"/>
      <c r="S19" s="6"/>
      <c r="T19" s="6"/>
      <c r="U19" s="6"/>
      <c r="V19" s="6"/>
      <c r="W19" s="6"/>
      <c r="X19" s="6"/>
      <c r="Y19" s="6"/>
    </row>
    <row r="20" spans="1:25" x14ac:dyDescent="0.35">
      <c r="A20" s="6"/>
      <c r="B20" s="6"/>
      <c r="C20" s="6"/>
      <c r="D20" s="6"/>
      <c r="E20" s="6"/>
      <c r="F20" s="6"/>
      <c r="G20" s="6"/>
      <c r="H20" s="6"/>
      <c r="I20" s="6"/>
      <c r="J20" s="6"/>
      <c r="K20" s="6"/>
      <c r="L20" s="6"/>
      <c r="M20" s="6"/>
      <c r="N20" s="6"/>
      <c r="O20" s="6"/>
      <c r="P20" s="6"/>
      <c r="Q20" s="6"/>
      <c r="R20" s="6"/>
      <c r="S20" s="6"/>
      <c r="T20" s="6"/>
      <c r="U20" s="6"/>
      <c r="V20" s="6"/>
      <c r="W20" s="6"/>
      <c r="X20" s="6"/>
      <c r="Y20" s="6"/>
    </row>
    <row r="21" spans="1:25" x14ac:dyDescent="0.35">
      <c r="A21" s="6"/>
      <c r="B21" s="6"/>
      <c r="C21" s="6"/>
      <c r="D21" s="6"/>
      <c r="E21" s="6"/>
      <c r="F21" s="6"/>
      <c r="G21" s="6"/>
      <c r="H21" s="6"/>
      <c r="I21" s="6"/>
      <c r="J21" s="6"/>
      <c r="K21" s="6"/>
      <c r="L21" s="6"/>
      <c r="M21" s="6"/>
      <c r="N21" s="6"/>
      <c r="O21" s="6"/>
      <c r="P21" s="6"/>
      <c r="Q21" s="6"/>
      <c r="R21" s="6"/>
      <c r="S21" s="6"/>
      <c r="T21" s="6"/>
      <c r="U21" s="6"/>
      <c r="V21" s="6"/>
      <c r="W21" s="6"/>
      <c r="X21" s="6"/>
      <c r="Y21" s="6"/>
    </row>
    <row r="22" spans="1:25" x14ac:dyDescent="0.35">
      <c r="A22" s="6"/>
      <c r="B22" s="6"/>
      <c r="C22" s="6"/>
      <c r="D22" s="6"/>
      <c r="E22" s="6"/>
      <c r="F22" s="6"/>
      <c r="G22" s="6"/>
      <c r="H22" s="6"/>
      <c r="I22" s="6"/>
      <c r="J22" s="6"/>
      <c r="K22" s="6"/>
      <c r="L22" s="6"/>
      <c r="M22" s="6"/>
      <c r="N22" s="6"/>
      <c r="O22" s="6"/>
      <c r="P22" s="6"/>
      <c r="Q22" s="6"/>
      <c r="R22" s="6"/>
      <c r="S22" s="6"/>
      <c r="T22" s="6"/>
      <c r="U22" s="6"/>
      <c r="V22" s="6"/>
      <c r="W22" s="6"/>
      <c r="X22" s="6"/>
      <c r="Y22" s="6"/>
    </row>
    <row r="23" spans="1:25" x14ac:dyDescent="0.35">
      <c r="A23" s="6"/>
      <c r="B23" s="6"/>
      <c r="C23" s="6"/>
      <c r="D23" s="6"/>
      <c r="E23" s="6"/>
      <c r="F23" s="6"/>
      <c r="G23" s="6"/>
      <c r="H23" s="6"/>
      <c r="I23" s="6"/>
      <c r="J23" s="6"/>
      <c r="K23" s="6"/>
      <c r="L23" s="6"/>
      <c r="M23" s="6"/>
      <c r="N23" s="6"/>
      <c r="O23" s="6"/>
      <c r="P23" s="6"/>
      <c r="Q23" s="6"/>
      <c r="R23" s="6"/>
      <c r="S23" s="6"/>
      <c r="T23" s="6"/>
      <c r="U23" s="6"/>
      <c r="V23" s="6"/>
      <c r="W23" s="6"/>
      <c r="X23" s="6"/>
      <c r="Y23" s="6"/>
    </row>
    <row r="24" spans="1:25" x14ac:dyDescent="0.35">
      <c r="A24" s="6"/>
      <c r="B24" s="6"/>
      <c r="C24" s="6"/>
      <c r="D24" s="6"/>
      <c r="E24" s="6"/>
      <c r="F24" s="6"/>
      <c r="G24" s="6"/>
      <c r="H24" s="6"/>
      <c r="I24" s="6"/>
      <c r="J24" s="6"/>
      <c r="K24" s="6"/>
      <c r="L24" s="6"/>
      <c r="M24" s="6"/>
      <c r="N24" s="6"/>
      <c r="O24" s="6"/>
      <c r="P24" s="6"/>
      <c r="Q24" s="6"/>
      <c r="R24" s="6"/>
      <c r="S24" s="6"/>
      <c r="T24" s="6"/>
      <c r="U24" s="6"/>
      <c r="V24" s="6"/>
      <c r="W24" s="6"/>
      <c r="X24" s="6"/>
      <c r="Y24" s="6"/>
    </row>
    <row r="25" spans="1:25" x14ac:dyDescent="0.35">
      <c r="A25" s="6"/>
      <c r="B25" s="6"/>
      <c r="C25" s="6"/>
      <c r="D25" s="6"/>
      <c r="E25" s="6"/>
      <c r="F25" s="6"/>
      <c r="G25" s="6"/>
      <c r="H25" s="6"/>
      <c r="I25" s="6"/>
      <c r="J25" s="6"/>
      <c r="K25" s="6"/>
      <c r="L25" s="6"/>
      <c r="M25" s="6"/>
      <c r="N25" s="6"/>
      <c r="O25" s="6"/>
      <c r="P25" s="6"/>
      <c r="Q25" s="6"/>
      <c r="R25" s="6"/>
      <c r="S25" s="6"/>
      <c r="T25" s="6"/>
      <c r="U25" s="6"/>
      <c r="V25" s="6"/>
      <c r="W25" s="6"/>
      <c r="X25" s="6"/>
      <c r="Y25" s="6"/>
    </row>
    <row r="26" spans="1:25" x14ac:dyDescent="0.35">
      <c r="A26" s="6"/>
      <c r="B26" s="6"/>
      <c r="C26" s="6"/>
      <c r="D26" s="6"/>
      <c r="E26" s="6"/>
      <c r="F26" s="6"/>
      <c r="G26" s="6"/>
      <c r="H26" s="6"/>
      <c r="I26" s="6"/>
      <c r="J26" s="6"/>
      <c r="K26" s="6"/>
      <c r="L26" s="6"/>
      <c r="M26" s="6"/>
      <c r="N26" s="6"/>
      <c r="O26" s="6"/>
      <c r="P26" s="6"/>
      <c r="Q26" s="6"/>
      <c r="R26" s="6"/>
      <c r="S26" s="6"/>
      <c r="T26" s="6"/>
      <c r="U26" s="6"/>
      <c r="V26" s="6"/>
      <c r="W26" s="6"/>
      <c r="X26" s="6"/>
      <c r="Y26" s="6"/>
    </row>
  </sheetData>
  <mergeCells count="1">
    <mergeCell ref="A1:Y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Check Box 2">
              <controlPr defaultSize="0" autoFill="0" autoLine="0" autoPict="0" macro="[0]!Connection">
                <anchor moveWithCells="1">
                  <from>
                    <xdr:col>14</xdr:col>
                    <xdr:colOff>508000</xdr:colOff>
                    <xdr:row>1</xdr:row>
                    <xdr:rowOff>139700</xdr:rowOff>
                  </from>
                  <to>
                    <xdr:col>15</xdr:col>
                    <xdr:colOff>63500</xdr:colOff>
                    <xdr:row>1</xdr:row>
                    <xdr:rowOff>412750</xdr:rowOff>
                  </to>
                </anchor>
              </controlPr>
            </control>
          </mc:Choice>
        </mc:AlternateContent>
        <mc:AlternateContent xmlns:mc="http://schemas.openxmlformats.org/markup-compatibility/2006">
          <mc:Choice Requires="x14">
            <control shapeId="3078" r:id="rId5" name="Check Box 6">
              <controlPr defaultSize="0" autoFill="0" autoLine="0" autoPict="0" macro="[0]!Connection">
                <anchor moveWithCells="1">
                  <from>
                    <xdr:col>22</xdr:col>
                    <xdr:colOff>558800</xdr:colOff>
                    <xdr:row>1</xdr:row>
                    <xdr:rowOff>120650</xdr:rowOff>
                  </from>
                  <to>
                    <xdr:col>23</xdr:col>
                    <xdr:colOff>114300</xdr:colOff>
                    <xdr:row>1</xdr:row>
                    <xdr:rowOff>393700</xdr:rowOff>
                  </to>
                </anchor>
              </controlPr>
            </control>
          </mc:Choice>
        </mc:AlternateContent>
        <mc:AlternateContent xmlns:mc="http://schemas.openxmlformats.org/markup-compatibility/2006">
          <mc:Choice Requires="x14">
            <control shapeId="3079" r:id="rId6" name="Check Box 7">
              <controlPr defaultSize="0" autoFill="0" autoLine="0" autoPict="0" macro="[0]!Connection">
                <anchor moveWithCells="1">
                  <from>
                    <xdr:col>22</xdr:col>
                    <xdr:colOff>552450</xdr:colOff>
                    <xdr:row>10</xdr:row>
                    <xdr:rowOff>63500</xdr:rowOff>
                  </from>
                  <to>
                    <xdr:col>23</xdr:col>
                    <xdr:colOff>107950</xdr:colOff>
                    <xdr:row>11</xdr:row>
                    <xdr:rowOff>158750</xdr:rowOff>
                  </to>
                </anchor>
              </controlPr>
            </control>
          </mc:Choice>
        </mc:AlternateContent>
        <mc:AlternateContent xmlns:mc="http://schemas.openxmlformats.org/markup-compatibility/2006">
          <mc:Choice Requires="x14">
            <control shapeId="3080" r:id="rId7" name="Check Box 8">
              <controlPr defaultSize="0" autoFill="0" autoLine="0" autoPict="0" macro="[0]!Connection">
                <anchor moveWithCells="1">
                  <from>
                    <xdr:col>14</xdr:col>
                    <xdr:colOff>558800</xdr:colOff>
                    <xdr:row>10</xdr:row>
                    <xdr:rowOff>76200</xdr:rowOff>
                  </from>
                  <to>
                    <xdr:col>15</xdr:col>
                    <xdr:colOff>114300</xdr:colOff>
                    <xdr:row>11</xdr:row>
                    <xdr:rowOff>171450</xdr:rowOff>
                  </to>
                </anchor>
              </controlPr>
            </control>
          </mc:Choice>
        </mc:AlternateContent>
        <mc:AlternateContent xmlns:mc="http://schemas.openxmlformats.org/markup-compatibility/2006">
          <mc:Choice Requires="x14">
            <control shapeId="3081" r:id="rId8" name="Check Box 9">
              <controlPr defaultSize="0" autoFill="0" autoLine="0" autoPict="0" macro="[0]!Connection">
                <anchor moveWithCells="1">
                  <from>
                    <xdr:col>6</xdr:col>
                    <xdr:colOff>495300</xdr:colOff>
                    <xdr:row>10</xdr:row>
                    <xdr:rowOff>95250</xdr:rowOff>
                  </from>
                  <to>
                    <xdr:col>7</xdr:col>
                    <xdr:colOff>50800</xdr:colOff>
                    <xdr:row>12</xdr:row>
                    <xdr:rowOff>0</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B7"/>
  <sheetViews>
    <sheetView workbookViewId="0">
      <selection activeCell="M6" sqref="M6"/>
    </sheetView>
  </sheetViews>
  <sheetFormatPr defaultRowHeight="14.5" x14ac:dyDescent="0.35"/>
  <cols>
    <col min="1" max="1" width="12.36328125" bestFit="1" customWidth="1"/>
    <col min="2" max="2" width="21.81640625" bestFit="1" customWidth="1"/>
  </cols>
  <sheetData>
    <row r="3" spans="1:2" x14ac:dyDescent="0.35">
      <c r="A3" s="3" t="s">
        <v>92</v>
      </c>
      <c r="B3" t="s">
        <v>94</v>
      </c>
    </row>
    <row r="4" spans="1:2" x14ac:dyDescent="0.35">
      <c r="A4" s="4" t="s">
        <v>78</v>
      </c>
      <c r="B4" s="5">
        <v>133100.26499999998</v>
      </c>
    </row>
    <row r="5" spans="1:2" x14ac:dyDescent="0.35">
      <c r="A5" s="4" t="s">
        <v>77</v>
      </c>
      <c r="B5" s="5">
        <v>99662.48</v>
      </c>
    </row>
    <row r="6" spans="1:2" x14ac:dyDescent="0.35">
      <c r="A6" s="4" t="s">
        <v>79</v>
      </c>
      <c r="B6" s="5">
        <v>104254.89</v>
      </c>
    </row>
    <row r="7" spans="1:2" x14ac:dyDescent="0.35">
      <c r="A7" s="4" t="s">
        <v>93</v>
      </c>
      <c r="B7" s="5">
        <v>113104.61333333333</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B12"/>
  <sheetViews>
    <sheetView workbookViewId="0">
      <selection activeCell="N10" sqref="N10"/>
    </sheetView>
  </sheetViews>
  <sheetFormatPr defaultRowHeight="14.5" x14ac:dyDescent="0.35"/>
  <cols>
    <col min="1" max="1" width="12.90625" customWidth="1"/>
    <col min="2" max="2" width="21.81640625" bestFit="1" customWidth="1"/>
  </cols>
  <sheetData>
    <row r="3" spans="1:2" x14ac:dyDescent="0.35">
      <c r="A3" s="3" t="s">
        <v>92</v>
      </c>
      <c r="B3" t="s">
        <v>94</v>
      </c>
    </row>
    <row r="4" spans="1:2" x14ac:dyDescent="0.35">
      <c r="A4" s="4" t="s">
        <v>95</v>
      </c>
      <c r="B4" s="5">
        <v>104093.30799999999</v>
      </c>
    </row>
    <row r="5" spans="1:2" x14ac:dyDescent="0.35">
      <c r="A5" s="4" t="s">
        <v>100</v>
      </c>
      <c r="B5" s="5">
        <v>97908.65</v>
      </c>
    </row>
    <row r="6" spans="1:2" x14ac:dyDescent="0.35">
      <c r="A6" s="4" t="s">
        <v>96</v>
      </c>
      <c r="B6" s="5">
        <v>109457.69</v>
      </c>
    </row>
    <row r="7" spans="1:2" x14ac:dyDescent="0.35">
      <c r="A7" s="4" t="s">
        <v>101</v>
      </c>
      <c r="B7" s="5">
        <v>85852.04</v>
      </c>
    </row>
    <row r="8" spans="1:2" x14ac:dyDescent="0.35">
      <c r="A8" s="4" t="s">
        <v>102</v>
      </c>
      <c r="B8" s="5">
        <v>84787.77</v>
      </c>
    </row>
    <row r="9" spans="1:2" x14ac:dyDescent="0.35">
      <c r="A9" s="4" t="s">
        <v>99</v>
      </c>
      <c r="B9" s="5">
        <v>107350.15</v>
      </c>
    </row>
    <row r="10" spans="1:2" x14ac:dyDescent="0.35">
      <c r="A10" s="4" t="s">
        <v>97</v>
      </c>
      <c r="B10" s="5">
        <v>92745.596666666665</v>
      </c>
    </row>
    <row r="11" spans="1:2" x14ac:dyDescent="0.35">
      <c r="A11" s="4" t="s">
        <v>103</v>
      </c>
      <c r="B11" s="5">
        <v>89479.2</v>
      </c>
    </row>
    <row r="12" spans="1:2" x14ac:dyDescent="0.35">
      <c r="A12" s="4" t="s">
        <v>93</v>
      </c>
      <c r="B12" s="5">
        <v>102629.47818181819</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6"/>
  <sheetViews>
    <sheetView workbookViewId="0">
      <selection activeCell="I1" sqref="I1:I1048576"/>
    </sheetView>
  </sheetViews>
  <sheetFormatPr defaultRowHeight="14.5" x14ac:dyDescent="0.35"/>
  <cols>
    <col min="1" max="1" width="6.36328125" bestFit="1" customWidth="1"/>
    <col min="2" max="2" width="22" bestFit="1" customWidth="1"/>
    <col min="3" max="3" width="9.81640625" bestFit="1" customWidth="1"/>
    <col min="4" max="4" width="11.08984375" bestFit="1" customWidth="1"/>
    <col min="5" max="5" width="12" bestFit="1" customWidth="1"/>
    <col min="6" max="6" width="7" bestFit="1" customWidth="1"/>
    <col min="7" max="7" width="8.08984375" bestFit="1" customWidth="1"/>
    <col min="8" max="8" width="3.90625" bestFit="1" customWidth="1"/>
    <col min="9" max="9" width="10.08984375" bestFit="1" customWidth="1"/>
    <col min="10" max="10" width="12.1796875" bestFit="1" customWidth="1"/>
    <col min="12" max="12" width="10.0898437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v>1001</v>
      </c>
      <c r="B2" t="s">
        <v>12</v>
      </c>
      <c r="C2" t="s">
        <v>67</v>
      </c>
      <c r="D2" t="s">
        <v>72</v>
      </c>
      <c r="E2" t="s">
        <v>77</v>
      </c>
      <c r="F2" t="s">
        <v>80</v>
      </c>
      <c r="G2" t="s">
        <v>83</v>
      </c>
      <c r="H2">
        <v>47</v>
      </c>
      <c r="I2" s="2">
        <v>42711</v>
      </c>
      <c r="J2">
        <v>141823.43</v>
      </c>
      <c r="K2" t="s">
        <v>87</v>
      </c>
    </row>
    <row r="3" spans="1:12" x14ac:dyDescent="0.35">
      <c r="A3">
        <v>1002</v>
      </c>
      <c r="B3" t="s">
        <v>13</v>
      </c>
      <c r="C3" t="s">
        <v>68</v>
      </c>
      <c r="D3" t="s">
        <v>73</v>
      </c>
      <c r="E3" t="s">
        <v>78</v>
      </c>
      <c r="F3" t="s">
        <v>81</v>
      </c>
      <c r="G3" t="s">
        <v>84</v>
      </c>
      <c r="H3">
        <v>28</v>
      </c>
      <c r="I3" s="2">
        <v>43494</v>
      </c>
      <c r="J3">
        <v>111836.9</v>
      </c>
      <c r="K3" t="s">
        <v>88</v>
      </c>
    </row>
    <row r="4" spans="1:12" x14ac:dyDescent="0.35">
      <c r="A4">
        <v>1003</v>
      </c>
      <c r="B4" t="s">
        <v>14</v>
      </c>
      <c r="C4" t="s">
        <v>69</v>
      </c>
      <c r="D4" t="s">
        <v>72</v>
      </c>
      <c r="E4" t="s">
        <v>79</v>
      </c>
      <c r="F4" t="s">
        <v>82</v>
      </c>
      <c r="G4" t="s">
        <v>85</v>
      </c>
      <c r="H4">
        <v>52</v>
      </c>
      <c r="I4" s="2">
        <v>42542</v>
      </c>
      <c r="J4">
        <v>105981.37</v>
      </c>
      <c r="K4" t="s">
        <v>88</v>
      </c>
    </row>
    <row r="5" spans="1:12" x14ac:dyDescent="0.35">
      <c r="A5">
        <v>1004</v>
      </c>
      <c r="B5" t="s">
        <v>15</v>
      </c>
      <c r="C5" t="s">
        <v>68</v>
      </c>
      <c r="D5" t="s">
        <v>73</v>
      </c>
      <c r="E5" t="s">
        <v>77</v>
      </c>
      <c r="F5" t="s">
        <v>81</v>
      </c>
      <c r="G5" t="s">
        <v>80</v>
      </c>
      <c r="H5">
        <v>38</v>
      </c>
      <c r="I5" s="2">
        <v>42069</v>
      </c>
      <c r="J5">
        <v>56227.96</v>
      </c>
      <c r="K5" t="s">
        <v>89</v>
      </c>
    </row>
    <row r="6" spans="1:12" x14ac:dyDescent="0.35">
      <c r="A6">
        <v>1005</v>
      </c>
      <c r="B6" t="s">
        <v>16</v>
      </c>
      <c r="C6" t="s">
        <v>67</v>
      </c>
      <c r="D6" t="s">
        <v>72</v>
      </c>
      <c r="E6" t="s">
        <v>79</v>
      </c>
      <c r="F6" t="s">
        <v>81</v>
      </c>
      <c r="G6" t="s">
        <v>85</v>
      </c>
      <c r="H6">
        <v>37</v>
      </c>
      <c r="I6" s="2">
        <v>43627</v>
      </c>
      <c r="J6">
        <v>123027.86</v>
      </c>
      <c r="K6" t="s">
        <v>90</v>
      </c>
    </row>
    <row r="7" spans="1:12" x14ac:dyDescent="0.35">
      <c r="A7">
        <v>1006</v>
      </c>
      <c r="B7" t="s">
        <v>17</v>
      </c>
      <c r="C7" t="s">
        <v>68</v>
      </c>
      <c r="D7" t="s">
        <v>74</v>
      </c>
      <c r="E7" t="s">
        <v>78</v>
      </c>
      <c r="F7" t="s">
        <v>80</v>
      </c>
      <c r="G7" t="s">
        <v>83</v>
      </c>
      <c r="H7">
        <v>27</v>
      </c>
      <c r="I7" s="2">
        <v>44853</v>
      </c>
      <c r="J7">
        <v>58044.58</v>
      </c>
      <c r="K7" t="s">
        <v>91</v>
      </c>
    </row>
    <row r="8" spans="1:12" x14ac:dyDescent="0.35">
      <c r="A8">
        <v>1007</v>
      </c>
      <c r="B8" t="s">
        <v>18</v>
      </c>
      <c r="C8" t="s">
        <v>70</v>
      </c>
      <c r="D8" t="s">
        <v>75</v>
      </c>
      <c r="E8" t="s">
        <v>79</v>
      </c>
      <c r="F8" t="s">
        <v>82</v>
      </c>
      <c r="G8" t="s">
        <v>80</v>
      </c>
      <c r="H8">
        <v>43</v>
      </c>
      <c r="I8" s="2">
        <v>43796</v>
      </c>
      <c r="J8">
        <v>131446.69</v>
      </c>
      <c r="K8" t="s">
        <v>88</v>
      </c>
      <c r="L8" s="2">
        <v>44108</v>
      </c>
    </row>
    <row r="9" spans="1:12" x14ac:dyDescent="0.35">
      <c r="A9">
        <v>1008</v>
      </c>
      <c r="B9" t="s">
        <v>19</v>
      </c>
      <c r="C9" t="s">
        <v>67</v>
      </c>
      <c r="D9" t="s">
        <v>72</v>
      </c>
      <c r="E9" t="s">
        <v>79</v>
      </c>
      <c r="F9" t="s">
        <v>81</v>
      </c>
      <c r="G9" t="s">
        <v>85</v>
      </c>
      <c r="H9">
        <v>58</v>
      </c>
      <c r="I9" s="2">
        <v>41588</v>
      </c>
      <c r="J9">
        <v>74210.720000000001</v>
      </c>
      <c r="K9" t="s">
        <v>89</v>
      </c>
    </row>
    <row r="10" spans="1:12" x14ac:dyDescent="0.35">
      <c r="A10">
        <v>1009</v>
      </c>
      <c r="B10" t="s">
        <v>20</v>
      </c>
      <c r="C10" t="s">
        <v>69</v>
      </c>
      <c r="D10" t="s">
        <v>76</v>
      </c>
      <c r="E10" t="s">
        <v>78</v>
      </c>
      <c r="F10" t="s">
        <v>82</v>
      </c>
      <c r="G10" t="s">
        <v>84</v>
      </c>
      <c r="H10">
        <v>31</v>
      </c>
      <c r="I10" s="2">
        <v>41936</v>
      </c>
      <c r="J10">
        <v>142338.1</v>
      </c>
      <c r="K10" t="s">
        <v>91</v>
      </c>
    </row>
    <row r="11" spans="1:12" x14ac:dyDescent="0.35">
      <c r="A11">
        <v>1010</v>
      </c>
      <c r="B11" t="s">
        <v>21</v>
      </c>
      <c r="C11" t="s">
        <v>70</v>
      </c>
      <c r="D11" t="s">
        <v>75</v>
      </c>
      <c r="E11" t="s">
        <v>79</v>
      </c>
      <c r="F11" t="s">
        <v>82</v>
      </c>
      <c r="G11" t="s">
        <v>84</v>
      </c>
      <c r="H11">
        <v>59</v>
      </c>
      <c r="I11" s="2">
        <v>40897</v>
      </c>
      <c r="J11">
        <v>132526.32999999999</v>
      </c>
      <c r="K11" t="s">
        <v>91</v>
      </c>
    </row>
    <row r="12" spans="1:12" x14ac:dyDescent="0.35">
      <c r="A12">
        <v>1011</v>
      </c>
      <c r="B12" t="s">
        <v>22</v>
      </c>
      <c r="C12" t="s">
        <v>69</v>
      </c>
      <c r="D12" t="s">
        <v>72</v>
      </c>
      <c r="E12" t="s">
        <v>77</v>
      </c>
      <c r="F12" t="s">
        <v>80</v>
      </c>
      <c r="G12" t="s">
        <v>86</v>
      </c>
      <c r="H12">
        <v>53</v>
      </c>
      <c r="I12" s="2">
        <v>44469</v>
      </c>
      <c r="J12">
        <v>108707.47</v>
      </c>
      <c r="K12" t="s">
        <v>90</v>
      </c>
    </row>
    <row r="13" spans="1:12" x14ac:dyDescent="0.35">
      <c r="A13">
        <v>1012</v>
      </c>
      <c r="B13" t="s">
        <v>23</v>
      </c>
      <c r="C13" t="s">
        <v>69</v>
      </c>
      <c r="D13" t="s">
        <v>72</v>
      </c>
      <c r="E13" t="s">
        <v>79</v>
      </c>
      <c r="F13" t="s">
        <v>82</v>
      </c>
      <c r="G13" t="s">
        <v>85</v>
      </c>
      <c r="H13">
        <v>32</v>
      </c>
      <c r="I13" s="2">
        <v>42388</v>
      </c>
      <c r="J13">
        <v>83253.61</v>
      </c>
      <c r="K13" t="s">
        <v>90</v>
      </c>
      <c r="L13" s="2">
        <v>43903</v>
      </c>
    </row>
    <row r="14" spans="1:12" x14ac:dyDescent="0.35">
      <c r="A14">
        <v>1013</v>
      </c>
      <c r="B14" t="s">
        <v>24</v>
      </c>
      <c r="C14" t="s">
        <v>68</v>
      </c>
      <c r="D14" t="s">
        <v>72</v>
      </c>
      <c r="E14" t="s">
        <v>79</v>
      </c>
      <c r="F14" t="s">
        <v>80</v>
      </c>
      <c r="G14" t="s">
        <v>80</v>
      </c>
      <c r="H14">
        <v>60</v>
      </c>
      <c r="I14" s="2">
        <v>43844</v>
      </c>
      <c r="J14">
        <v>118058.91</v>
      </c>
      <c r="K14" t="s">
        <v>88</v>
      </c>
    </row>
    <row r="15" spans="1:12" x14ac:dyDescent="0.35">
      <c r="A15">
        <v>1014</v>
      </c>
      <c r="B15" t="s">
        <v>25</v>
      </c>
      <c r="C15" t="s">
        <v>71</v>
      </c>
      <c r="D15" t="s">
        <v>76</v>
      </c>
      <c r="E15" t="s">
        <v>78</v>
      </c>
      <c r="F15" t="s">
        <v>81</v>
      </c>
      <c r="G15" t="s">
        <v>86</v>
      </c>
      <c r="H15">
        <v>24</v>
      </c>
      <c r="I15" s="2">
        <v>43692</v>
      </c>
      <c r="J15">
        <v>110550.42</v>
      </c>
      <c r="K15" t="s">
        <v>89</v>
      </c>
    </row>
    <row r="16" spans="1:12" x14ac:dyDescent="0.35">
      <c r="A16">
        <v>1015</v>
      </c>
      <c r="B16" t="s">
        <v>26</v>
      </c>
      <c r="C16" t="s">
        <v>71</v>
      </c>
      <c r="D16" t="s">
        <v>72</v>
      </c>
      <c r="E16" t="s">
        <v>79</v>
      </c>
      <c r="F16" t="s">
        <v>81</v>
      </c>
      <c r="G16" t="s">
        <v>80</v>
      </c>
      <c r="H16">
        <v>28</v>
      </c>
      <c r="I16" s="2">
        <v>43474</v>
      </c>
      <c r="J16">
        <v>133590.26999999999</v>
      </c>
      <c r="K16" t="s">
        <v>87</v>
      </c>
    </row>
    <row r="17" spans="1:12" x14ac:dyDescent="0.35">
      <c r="A17">
        <v>1016</v>
      </c>
      <c r="B17" t="s">
        <v>27</v>
      </c>
      <c r="C17" t="s">
        <v>68</v>
      </c>
      <c r="D17" t="s">
        <v>72</v>
      </c>
      <c r="E17" t="s">
        <v>79</v>
      </c>
      <c r="F17" t="s">
        <v>81</v>
      </c>
      <c r="G17" t="s">
        <v>86</v>
      </c>
      <c r="H17">
        <v>60</v>
      </c>
      <c r="I17" s="2">
        <v>42385</v>
      </c>
      <c r="J17">
        <v>60092.12</v>
      </c>
      <c r="K17" t="s">
        <v>87</v>
      </c>
    </row>
    <row r="18" spans="1:12" x14ac:dyDescent="0.35">
      <c r="A18">
        <v>1017</v>
      </c>
      <c r="B18" t="s">
        <v>28</v>
      </c>
      <c r="C18" t="s">
        <v>67</v>
      </c>
      <c r="D18" t="s">
        <v>73</v>
      </c>
      <c r="E18" t="s">
        <v>78</v>
      </c>
      <c r="F18" t="s">
        <v>80</v>
      </c>
      <c r="G18" t="s">
        <v>84</v>
      </c>
      <c r="H18">
        <v>25</v>
      </c>
      <c r="I18" s="2">
        <v>44066</v>
      </c>
      <c r="J18">
        <v>128864.83</v>
      </c>
      <c r="K18" t="s">
        <v>87</v>
      </c>
    </row>
    <row r="19" spans="1:12" x14ac:dyDescent="0.35">
      <c r="A19">
        <v>1018</v>
      </c>
      <c r="B19" t="s">
        <v>29</v>
      </c>
      <c r="C19" t="s">
        <v>71</v>
      </c>
      <c r="D19" t="s">
        <v>73</v>
      </c>
      <c r="E19" t="s">
        <v>77</v>
      </c>
      <c r="F19" t="s">
        <v>80</v>
      </c>
      <c r="G19" t="s">
        <v>84</v>
      </c>
      <c r="H19">
        <v>22</v>
      </c>
      <c r="I19" s="2">
        <v>45276</v>
      </c>
      <c r="J19">
        <v>97162.54</v>
      </c>
      <c r="K19" t="s">
        <v>88</v>
      </c>
    </row>
    <row r="20" spans="1:12" x14ac:dyDescent="0.35">
      <c r="A20">
        <v>1019</v>
      </c>
      <c r="B20" t="s">
        <v>30</v>
      </c>
      <c r="C20" t="s">
        <v>69</v>
      </c>
      <c r="D20" t="s">
        <v>76</v>
      </c>
      <c r="E20" t="s">
        <v>79</v>
      </c>
      <c r="F20" t="s">
        <v>81</v>
      </c>
      <c r="G20" t="s">
        <v>84</v>
      </c>
      <c r="H20">
        <v>57</v>
      </c>
      <c r="I20" s="2">
        <v>41494</v>
      </c>
      <c r="J20">
        <v>119082.28</v>
      </c>
      <c r="K20" t="s">
        <v>87</v>
      </c>
    </row>
    <row r="21" spans="1:12" x14ac:dyDescent="0.35">
      <c r="A21">
        <v>1020</v>
      </c>
      <c r="B21" t="s">
        <v>31</v>
      </c>
      <c r="C21" t="s">
        <v>70</v>
      </c>
      <c r="D21" t="s">
        <v>75</v>
      </c>
      <c r="E21" t="s">
        <v>78</v>
      </c>
      <c r="F21" t="s">
        <v>82</v>
      </c>
      <c r="G21" t="s">
        <v>83</v>
      </c>
      <c r="H21">
        <v>44</v>
      </c>
      <c r="I21" s="2">
        <v>41933</v>
      </c>
      <c r="J21">
        <v>111013.57</v>
      </c>
      <c r="K21" t="s">
        <v>88</v>
      </c>
    </row>
    <row r="22" spans="1:12" x14ac:dyDescent="0.35">
      <c r="A22">
        <v>1021</v>
      </c>
      <c r="B22" t="s">
        <v>32</v>
      </c>
      <c r="C22" t="s">
        <v>69</v>
      </c>
      <c r="D22" t="s">
        <v>76</v>
      </c>
      <c r="E22" t="s">
        <v>79</v>
      </c>
      <c r="F22" t="s">
        <v>81</v>
      </c>
      <c r="G22" t="s">
        <v>86</v>
      </c>
      <c r="H22">
        <v>22</v>
      </c>
      <c r="I22" s="2">
        <v>41247</v>
      </c>
      <c r="J22">
        <v>109457.69</v>
      </c>
      <c r="K22" t="s">
        <v>90</v>
      </c>
      <c r="L22" s="2">
        <v>41487</v>
      </c>
    </row>
    <row r="23" spans="1:12" x14ac:dyDescent="0.35">
      <c r="A23">
        <v>1022</v>
      </c>
      <c r="B23" t="s">
        <v>33</v>
      </c>
      <c r="C23" t="s">
        <v>67</v>
      </c>
      <c r="D23" t="s">
        <v>76</v>
      </c>
      <c r="E23" t="s">
        <v>79</v>
      </c>
      <c r="F23" t="s">
        <v>80</v>
      </c>
      <c r="G23" t="s">
        <v>80</v>
      </c>
      <c r="H23">
        <v>48</v>
      </c>
      <c r="I23" s="2">
        <v>43677</v>
      </c>
      <c r="J23">
        <v>53154.55</v>
      </c>
      <c r="K23" t="s">
        <v>91</v>
      </c>
    </row>
    <row r="24" spans="1:12" x14ac:dyDescent="0.35">
      <c r="A24">
        <v>1023</v>
      </c>
      <c r="B24" t="s">
        <v>34</v>
      </c>
      <c r="C24" t="s">
        <v>71</v>
      </c>
      <c r="D24" t="s">
        <v>74</v>
      </c>
      <c r="E24" t="s">
        <v>77</v>
      </c>
      <c r="F24" t="s">
        <v>82</v>
      </c>
      <c r="G24" t="s">
        <v>85</v>
      </c>
      <c r="H24">
        <v>32</v>
      </c>
      <c r="I24" s="2">
        <v>43560</v>
      </c>
      <c r="J24">
        <v>94636.47</v>
      </c>
      <c r="K24" t="s">
        <v>88</v>
      </c>
    </row>
    <row r="25" spans="1:12" x14ac:dyDescent="0.35">
      <c r="A25">
        <v>1024</v>
      </c>
      <c r="B25" t="s">
        <v>35</v>
      </c>
      <c r="C25" t="s">
        <v>71</v>
      </c>
      <c r="D25" t="s">
        <v>76</v>
      </c>
      <c r="E25" t="s">
        <v>77</v>
      </c>
      <c r="F25" t="s">
        <v>81</v>
      </c>
      <c r="G25" t="s">
        <v>83</v>
      </c>
      <c r="H25">
        <v>25</v>
      </c>
      <c r="I25" s="2">
        <v>43982</v>
      </c>
      <c r="J25">
        <v>130904.59</v>
      </c>
      <c r="K25" t="s">
        <v>90</v>
      </c>
    </row>
    <row r="26" spans="1:12" x14ac:dyDescent="0.35">
      <c r="A26">
        <v>1025</v>
      </c>
      <c r="B26" t="s">
        <v>36</v>
      </c>
      <c r="C26" t="s">
        <v>71</v>
      </c>
      <c r="D26" t="s">
        <v>74</v>
      </c>
      <c r="E26" t="s">
        <v>78</v>
      </c>
      <c r="F26" t="s">
        <v>81</v>
      </c>
      <c r="G26" t="s">
        <v>83</v>
      </c>
      <c r="H26">
        <v>42</v>
      </c>
      <c r="I26" s="2">
        <v>43379</v>
      </c>
      <c r="J26">
        <v>50339.28</v>
      </c>
      <c r="K26" t="s">
        <v>88</v>
      </c>
    </row>
    <row r="27" spans="1:12" x14ac:dyDescent="0.35">
      <c r="A27">
        <v>1026</v>
      </c>
      <c r="B27" t="s">
        <v>37</v>
      </c>
      <c r="C27" t="s">
        <v>68</v>
      </c>
      <c r="D27" t="s">
        <v>72</v>
      </c>
      <c r="E27" t="s">
        <v>79</v>
      </c>
      <c r="F27" t="s">
        <v>80</v>
      </c>
      <c r="G27" t="s">
        <v>84</v>
      </c>
      <c r="H27">
        <v>41</v>
      </c>
      <c r="I27" s="2">
        <v>45247</v>
      </c>
      <c r="J27">
        <v>77998.27</v>
      </c>
      <c r="K27" t="s">
        <v>91</v>
      </c>
    </row>
    <row r="28" spans="1:12" x14ac:dyDescent="0.35">
      <c r="A28">
        <v>1027</v>
      </c>
      <c r="B28" t="s">
        <v>38</v>
      </c>
      <c r="C28" t="s">
        <v>67</v>
      </c>
      <c r="D28" t="s">
        <v>72</v>
      </c>
      <c r="E28" t="s">
        <v>78</v>
      </c>
      <c r="F28" t="s">
        <v>81</v>
      </c>
      <c r="G28" t="s">
        <v>83</v>
      </c>
      <c r="H28">
        <v>29</v>
      </c>
      <c r="I28" s="2">
        <v>43965</v>
      </c>
      <c r="J28">
        <v>136135.99</v>
      </c>
      <c r="K28" t="s">
        <v>87</v>
      </c>
    </row>
    <row r="29" spans="1:12" x14ac:dyDescent="0.35">
      <c r="A29">
        <v>1028</v>
      </c>
      <c r="B29" t="s">
        <v>39</v>
      </c>
      <c r="C29" t="s">
        <v>68</v>
      </c>
      <c r="D29" t="s">
        <v>75</v>
      </c>
      <c r="E29" t="s">
        <v>78</v>
      </c>
      <c r="F29" t="s">
        <v>82</v>
      </c>
      <c r="G29" t="s">
        <v>86</v>
      </c>
      <c r="H29">
        <v>35</v>
      </c>
      <c r="I29" s="2">
        <v>44863</v>
      </c>
      <c r="J29">
        <v>118099.68</v>
      </c>
      <c r="K29" t="s">
        <v>88</v>
      </c>
      <c r="L29" s="2">
        <v>45284</v>
      </c>
    </row>
    <row r="30" spans="1:12" x14ac:dyDescent="0.35">
      <c r="A30">
        <v>1029</v>
      </c>
      <c r="B30" t="s">
        <v>40</v>
      </c>
      <c r="C30" t="s">
        <v>71</v>
      </c>
      <c r="D30" t="s">
        <v>73</v>
      </c>
      <c r="E30" t="s">
        <v>79</v>
      </c>
      <c r="F30" t="s">
        <v>81</v>
      </c>
      <c r="G30" t="s">
        <v>83</v>
      </c>
      <c r="H30">
        <v>49</v>
      </c>
      <c r="I30" s="2">
        <v>42384</v>
      </c>
      <c r="J30">
        <v>87244.93</v>
      </c>
      <c r="K30" t="s">
        <v>91</v>
      </c>
    </row>
    <row r="31" spans="1:12" x14ac:dyDescent="0.35">
      <c r="A31">
        <v>1030</v>
      </c>
      <c r="B31" t="s">
        <v>41</v>
      </c>
      <c r="C31" t="s">
        <v>71</v>
      </c>
      <c r="D31" t="s">
        <v>74</v>
      </c>
      <c r="E31" t="s">
        <v>78</v>
      </c>
      <c r="F31" t="s">
        <v>81</v>
      </c>
      <c r="G31" t="s">
        <v>85</v>
      </c>
      <c r="H31">
        <v>43</v>
      </c>
      <c r="I31" s="2">
        <v>44653</v>
      </c>
      <c r="J31">
        <v>128962.32</v>
      </c>
      <c r="K31" t="s">
        <v>88</v>
      </c>
    </row>
    <row r="32" spans="1:12" x14ac:dyDescent="0.35">
      <c r="A32">
        <v>1031</v>
      </c>
      <c r="B32" t="s">
        <v>42</v>
      </c>
      <c r="C32" t="s">
        <v>69</v>
      </c>
      <c r="D32" t="s">
        <v>74</v>
      </c>
      <c r="E32" t="s">
        <v>78</v>
      </c>
      <c r="F32" t="s">
        <v>80</v>
      </c>
      <c r="G32" t="s">
        <v>85</v>
      </c>
      <c r="H32">
        <v>45</v>
      </c>
      <c r="I32" s="2">
        <v>43637</v>
      </c>
      <c r="J32">
        <v>89479.2</v>
      </c>
      <c r="K32" t="s">
        <v>89</v>
      </c>
      <c r="L32" s="2">
        <v>45507</v>
      </c>
    </row>
    <row r="33" spans="1:12" x14ac:dyDescent="0.35">
      <c r="A33">
        <v>1032</v>
      </c>
      <c r="B33" t="s">
        <v>43</v>
      </c>
      <c r="C33" t="s">
        <v>68</v>
      </c>
      <c r="D33" t="s">
        <v>72</v>
      </c>
      <c r="E33" t="s">
        <v>77</v>
      </c>
      <c r="F33" t="s">
        <v>82</v>
      </c>
      <c r="G33" t="s">
        <v>80</v>
      </c>
      <c r="H33">
        <v>26</v>
      </c>
      <c r="I33" s="2">
        <v>44085</v>
      </c>
      <c r="J33">
        <v>80267.070000000007</v>
      </c>
      <c r="K33" t="s">
        <v>91</v>
      </c>
    </row>
    <row r="34" spans="1:12" x14ac:dyDescent="0.35">
      <c r="A34">
        <v>1033</v>
      </c>
      <c r="B34" t="s">
        <v>44</v>
      </c>
      <c r="C34" t="s">
        <v>70</v>
      </c>
      <c r="D34" t="s">
        <v>76</v>
      </c>
      <c r="E34" t="s">
        <v>77</v>
      </c>
      <c r="F34" t="s">
        <v>81</v>
      </c>
      <c r="G34" t="s">
        <v>85</v>
      </c>
      <c r="H34">
        <v>29</v>
      </c>
      <c r="I34" s="2">
        <v>41039</v>
      </c>
      <c r="J34">
        <v>97908.65</v>
      </c>
      <c r="K34" t="s">
        <v>89</v>
      </c>
      <c r="L34" s="2">
        <v>41265</v>
      </c>
    </row>
    <row r="35" spans="1:12" x14ac:dyDescent="0.35">
      <c r="A35">
        <v>1034</v>
      </c>
      <c r="B35" t="s">
        <v>45</v>
      </c>
      <c r="C35" t="s">
        <v>68</v>
      </c>
      <c r="D35" t="s">
        <v>74</v>
      </c>
      <c r="E35" t="s">
        <v>79</v>
      </c>
      <c r="F35" t="s">
        <v>80</v>
      </c>
      <c r="G35" t="s">
        <v>83</v>
      </c>
      <c r="H35">
        <v>27</v>
      </c>
      <c r="I35" s="2">
        <v>44780</v>
      </c>
      <c r="J35">
        <v>56583.47</v>
      </c>
      <c r="K35" t="s">
        <v>89</v>
      </c>
    </row>
    <row r="36" spans="1:12" x14ac:dyDescent="0.35">
      <c r="A36">
        <v>1035</v>
      </c>
      <c r="B36" t="s">
        <v>46</v>
      </c>
      <c r="C36" t="s">
        <v>71</v>
      </c>
      <c r="D36" t="s">
        <v>76</v>
      </c>
      <c r="E36" t="s">
        <v>79</v>
      </c>
      <c r="F36" t="s">
        <v>80</v>
      </c>
      <c r="G36" t="s">
        <v>85</v>
      </c>
      <c r="H36">
        <v>50</v>
      </c>
      <c r="I36" s="2">
        <v>44539</v>
      </c>
      <c r="J36">
        <v>142015.26999999999</v>
      </c>
      <c r="K36" t="s">
        <v>91</v>
      </c>
    </row>
    <row r="37" spans="1:12" x14ac:dyDescent="0.35">
      <c r="A37">
        <v>1036</v>
      </c>
      <c r="B37" t="s">
        <v>47</v>
      </c>
      <c r="C37" t="s">
        <v>68</v>
      </c>
      <c r="D37" t="s">
        <v>75</v>
      </c>
      <c r="E37" t="s">
        <v>79</v>
      </c>
      <c r="F37" t="s">
        <v>82</v>
      </c>
      <c r="G37" t="s">
        <v>83</v>
      </c>
      <c r="H37">
        <v>34</v>
      </c>
      <c r="I37" s="2">
        <v>41933</v>
      </c>
      <c r="J37">
        <v>85852.04</v>
      </c>
      <c r="K37" t="s">
        <v>88</v>
      </c>
      <c r="L37" s="2">
        <v>42367</v>
      </c>
    </row>
    <row r="38" spans="1:12" x14ac:dyDescent="0.35">
      <c r="A38">
        <v>1037</v>
      </c>
      <c r="B38" t="s">
        <v>48</v>
      </c>
      <c r="C38" t="s">
        <v>68</v>
      </c>
      <c r="D38" t="s">
        <v>72</v>
      </c>
      <c r="E38" t="s">
        <v>77</v>
      </c>
      <c r="F38" t="s">
        <v>81</v>
      </c>
      <c r="G38" t="s">
        <v>85</v>
      </c>
      <c r="H38">
        <v>35</v>
      </c>
      <c r="I38" s="2">
        <v>41438</v>
      </c>
      <c r="J38">
        <v>114099.73</v>
      </c>
      <c r="K38" t="s">
        <v>88</v>
      </c>
    </row>
    <row r="39" spans="1:12" x14ac:dyDescent="0.35">
      <c r="A39">
        <v>1038</v>
      </c>
      <c r="B39" t="s">
        <v>49</v>
      </c>
      <c r="C39" t="s">
        <v>68</v>
      </c>
      <c r="D39" t="s">
        <v>76</v>
      </c>
      <c r="E39" t="s">
        <v>77</v>
      </c>
      <c r="F39" t="s">
        <v>81</v>
      </c>
      <c r="G39" t="s">
        <v>80</v>
      </c>
      <c r="H39">
        <v>31</v>
      </c>
      <c r="I39" s="2">
        <v>44663</v>
      </c>
      <c r="J39">
        <v>60474.63</v>
      </c>
      <c r="K39" t="s">
        <v>90</v>
      </c>
      <c r="L39" s="2">
        <v>45270</v>
      </c>
    </row>
    <row r="40" spans="1:12" x14ac:dyDescent="0.35">
      <c r="A40">
        <v>1039</v>
      </c>
      <c r="B40" t="s">
        <v>50</v>
      </c>
      <c r="C40" t="s">
        <v>67</v>
      </c>
      <c r="D40" t="s">
        <v>73</v>
      </c>
      <c r="E40" t="s">
        <v>77</v>
      </c>
      <c r="F40" t="s">
        <v>80</v>
      </c>
      <c r="G40" t="s">
        <v>85</v>
      </c>
      <c r="H40">
        <v>53</v>
      </c>
      <c r="I40" s="2">
        <v>43858</v>
      </c>
      <c r="J40">
        <v>149818.29999999999</v>
      </c>
      <c r="K40" t="s">
        <v>88</v>
      </c>
    </row>
    <row r="41" spans="1:12" x14ac:dyDescent="0.35">
      <c r="A41">
        <v>1040</v>
      </c>
      <c r="B41" t="s">
        <v>51</v>
      </c>
      <c r="C41" t="s">
        <v>68</v>
      </c>
      <c r="D41" t="s">
        <v>72</v>
      </c>
      <c r="E41" t="s">
        <v>77</v>
      </c>
      <c r="F41" t="s">
        <v>80</v>
      </c>
      <c r="G41" t="s">
        <v>85</v>
      </c>
      <c r="H41">
        <v>42</v>
      </c>
      <c r="I41" s="2">
        <v>40678</v>
      </c>
      <c r="J41">
        <v>53546.83</v>
      </c>
      <c r="K41" t="s">
        <v>88</v>
      </c>
    </row>
    <row r="42" spans="1:12" x14ac:dyDescent="0.35">
      <c r="A42">
        <v>1041</v>
      </c>
      <c r="B42" t="s">
        <v>52</v>
      </c>
      <c r="C42" t="s">
        <v>67</v>
      </c>
      <c r="D42" t="s">
        <v>73</v>
      </c>
      <c r="E42" t="s">
        <v>77</v>
      </c>
      <c r="F42" t="s">
        <v>80</v>
      </c>
      <c r="G42" t="s">
        <v>83</v>
      </c>
      <c r="H42">
        <v>26</v>
      </c>
      <c r="I42" s="2">
        <v>43608</v>
      </c>
      <c r="J42">
        <v>129994.58</v>
      </c>
      <c r="K42" t="s">
        <v>89</v>
      </c>
    </row>
    <row r="43" spans="1:12" x14ac:dyDescent="0.35">
      <c r="A43">
        <v>1042</v>
      </c>
      <c r="B43" t="s">
        <v>53</v>
      </c>
      <c r="C43" t="s">
        <v>71</v>
      </c>
      <c r="D43" t="s">
        <v>75</v>
      </c>
      <c r="E43" t="s">
        <v>78</v>
      </c>
      <c r="F43" t="s">
        <v>81</v>
      </c>
      <c r="G43" t="s">
        <v>85</v>
      </c>
      <c r="H43">
        <v>32</v>
      </c>
      <c r="I43" s="2">
        <v>41404</v>
      </c>
      <c r="J43">
        <v>130064.54</v>
      </c>
      <c r="K43" t="s">
        <v>87</v>
      </c>
    </row>
    <row r="44" spans="1:12" x14ac:dyDescent="0.35">
      <c r="A44">
        <v>1043</v>
      </c>
      <c r="B44" t="s">
        <v>54</v>
      </c>
      <c r="C44" t="s">
        <v>70</v>
      </c>
      <c r="D44" t="s">
        <v>73</v>
      </c>
      <c r="E44" t="s">
        <v>78</v>
      </c>
      <c r="F44" t="s">
        <v>80</v>
      </c>
      <c r="G44" t="s">
        <v>86</v>
      </c>
      <c r="H44">
        <v>55</v>
      </c>
      <c r="I44" s="2">
        <v>43478</v>
      </c>
      <c r="J44">
        <v>125784.64</v>
      </c>
      <c r="K44" t="s">
        <v>90</v>
      </c>
    </row>
    <row r="45" spans="1:12" x14ac:dyDescent="0.35">
      <c r="A45">
        <v>1044</v>
      </c>
      <c r="B45" t="s">
        <v>55</v>
      </c>
      <c r="C45" t="s">
        <v>70</v>
      </c>
      <c r="D45" t="s">
        <v>76</v>
      </c>
      <c r="E45" t="s">
        <v>77</v>
      </c>
      <c r="F45" t="s">
        <v>81</v>
      </c>
      <c r="G45" t="s">
        <v>80</v>
      </c>
      <c r="H45">
        <v>59</v>
      </c>
      <c r="I45" s="2">
        <v>44404</v>
      </c>
      <c r="J45">
        <v>73357.11</v>
      </c>
      <c r="K45" t="s">
        <v>89</v>
      </c>
    </row>
    <row r="46" spans="1:12" x14ac:dyDescent="0.35">
      <c r="A46">
        <v>1045</v>
      </c>
      <c r="B46" t="s">
        <v>56</v>
      </c>
      <c r="C46" t="s">
        <v>69</v>
      </c>
      <c r="D46" t="s">
        <v>73</v>
      </c>
      <c r="E46" t="s">
        <v>79</v>
      </c>
      <c r="F46" t="s">
        <v>81</v>
      </c>
      <c r="G46" t="s">
        <v>85</v>
      </c>
      <c r="H46">
        <v>26</v>
      </c>
      <c r="I46" s="2">
        <v>44925</v>
      </c>
      <c r="J46">
        <v>99351</v>
      </c>
      <c r="K46" t="s">
        <v>91</v>
      </c>
    </row>
    <row r="47" spans="1:12" x14ac:dyDescent="0.35">
      <c r="A47">
        <v>1046</v>
      </c>
      <c r="B47" t="s">
        <v>57</v>
      </c>
      <c r="C47" t="s">
        <v>67</v>
      </c>
      <c r="D47" t="s">
        <v>72</v>
      </c>
      <c r="E47" t="s">
        <v>78</v>
      </c>
      <c r="F47" t="s">
        <v>80</v>
      </c>
      <c r="G47" t="s">
        <v>84</v>
      </c>
      <c r="H47">
        <v>37</v>
      </c>
      <c r="I47" s="2">
        <v>41155</v>
      </c>
      <c r="J47">
        <v>78708.83</v>
      </c>
      <c r="K47" t="s">
        <v>89</v>
      </c>
    </row>
    <row r="48" spans="1:12" x14ac:dyDescent="0.35">
      <c r="A48">
        <v>1047</v>
      </c>
      <c r="B48" t="s">
        <v>58</v>
      </c>
      <c r="C48" t="s">
        <v>68</v>
      </c>
      <c r="D48" t="s">
        <v>76</v>
      </c>
      <c r="E48" t="s">
        <v>79</v>
      </c>
      <c r="F48" t="s">
        <v>80</v>
      </c>
      <c r="G48" t="s">
        <v>86</v>
      </c>
      <c r="H48">
        <v>31</v>
      </c>
      <c r="I48" s="2">
        <v>42106</v>
      </c>
      <c r="J48">
        <v>131028.85</v>
      </c>
      <c r="K48" t="s">
        <v>88</v>
      </c>
    </row>
    <row r="49" spans="1:12" x14ac:dyDescent="0.35">
      <c r="A49">
        <v>1048</v>
      </c>
      <c r="B49" t="s">
        <v>59</v>
      </c>
      <c r="C49" t="s">
        <v>67</v>
      </c>
      <c r="D49" t="s">
        <v>72</v>
      </c>
      <c r="E49" t="s">
        <v>78</v>
      </c>
      <c r="F49" t="s">
        <v>81</v>
      </c>
      <c r="G49" t="s">
        <v>84</v>
      </c>
      <c r="H49">
        <v>23</v>
      </c>
      <c r="I49" s="2">
        <v>44177</v>
      </c>
      <c r="J49">
        <v>53246.55</v>
      </c>
      <c r="K49" t="s">
        <v>89</v>
      </c>
    </row>
    <row r="50" spans="1:12" x14ac:dyDescent="0.35">
      <c r="A50">
        <v>1049</v>
      </c>
      <c r="B50" t="s">
        <v>60</v>
      </c>
      <c r="C50" t="s">
        <v>69</v>
      </c>
      <c r="D50" t="s">
        <v>74</v>
      </c>
      <c r="E50" t="s">
        <v>77</v>
      </c>
      <c r="F50" t="s">
        <v>81</v>
      </c>
      <c r="G50" t="s">
        <v>86</v>
      </c>
      <c r="H50">
        <v>25</v>
      </c>
      <c r="I50" s="2">
        <v>44362</v>
      </c>
      <c r="J50">
        <v>111011.97</v>
      </c>
      <c r="K50" t="s">
        <v>89</v>
      </c>
    </row>
    <row r="51" spans="1:12" x14ac:dyDescent="0.35">
      <c r="A51">
        <v>1050</v>
      </c>
      <c r="B51" t="s">
        <v>61</v>
      </c>
      <c r="C51" t="s">
        <v>70</v>
      </c>
      <c r="D51" t="s">
        <v>75</v>
      </c>
      <c r="E51" t="s">
        <v>78</v>
      </c>
      <c r="F51" t="s">
        <v>81</v>
      </c>
      <c r="G51" t="s">
        <v>85</v>
      </c>
      <c r="H51">
        <v>29</v>
      </c>
      <c r="I51" s="2">
        <v>41312</v>
      </c>
      <c r="J51">
        <v>101900.73</v>
      </c>
      <c r="K51" t="s">
        <v>89</v>
      </c>
    </row>
    <row r="52" spans="1:12" x14ac:dyDescent="0.35">
      <c r="A52">
        <v>1051</v>
      </c>
      <c r="B52" t="s">
        <v>62</v>
      </c>
      <c r="C52" t="s">
        <v>67</v>
      </c>
      <c r="D52" t="s">
        <v>75</v>
      </c>
      <c r="E52" t="s">
        <v>78</v>
      </c>
      <c r="F52" t="s">
        <v>81</v>
      </c>
      <c r="G52" t="s">
        <v>85</v>
      </c>
      <c r="H52">
        <v>26</v>
      </c>
      <c r="I52" s="2">
        <v>44504</v>
      </c>
      <c r="J52">
        <v>145649.75</v>
      </c>
      <c r="K52" t="s">
        <v>91</v>
      </c>
    </row>
    <row r="53" spans="1:12" x14ac:dyDescent="0.35">
      <c r="A53">
        <v>1052</v>
      </c>
      <c r="B53" t="s">
        <v>63</v>
      </c>
      <c r="C53" t="s">
        <v>71</v>
      </c>
      <c r="D53" t="s">
        <v>73</v>
      </c>
      <c r="E53" t="s">
        <v>79</v>
      </c>
      <c r="F53" t="s">
        <v>80</v>
      </c>
      <c r="G53" t="s">
        <v>80</v>
      </c>
      <c r="H53">
        <v>35</v>
      </c>
      <c r="I53" s="2">
        <v>44679</v>
      </c>
      <c r="J53">
        <v>72965.52</v>
      </c>
      <c r="K53" t="s">
        <v>88</v>
      </c>
    </row>
    <row r="54" spans="1:12" x14ac:dyDescent="0.35">
      <c r="A54">
        <v>1053</v>
      </c>
      <c r="B54" t="s">
        <v>64</v>
      </c>
      <c r="C54" t="s">
        <v>69</v>
      </c>
      <c r="D54" t="s">
        <v>72</v>
      </c>
      <c r="E54" t="s">
        <v>78</v>
      </c>
      <c r="F54" t="s">
        <v>81</v>
      </c>
      <c r="G54" t="s">
        <v>80</v>
      </c>
      <c r="H54">
        <v>49</v>
      </c>
      <c r="I54" s="2">
        <v>41347</v>
      </c>
      <c r="J54">
        <v>142288.06</v>
      </c>
      <c r="K54" t="s">
        <v>89</v>
      </c>
    </row>
    <row r="55" spans="1:12" x14ac:dyDescent="0.35">
      <c r="A55">
        <v>1054</v>
      </c>
      <c r="B55" t="s">
        <v>65</v>
      </c>
      <c r="C55" t="s">
        <v>68</v>
      </c>
      <c r="D55" t="s">
        <v>72</v>
      </c>
      <c r="E55" t="s">
        <v>77</v>
      </c>
      <c r="F55" t="s">
        <v>81</v>
      </c>
      <c r="G55" t="s">
        <v>83</v>
      </c>
      <c r="H55">
        <v>23</v>
      </c>
      <c r="I55" s="2">
        <v>43596</v>
      </c>
      <c r="J55">
        <v>99662.48</v>
      </c>
      <c r="K55" t="s">
        <v>87</v>
      </c>
      <c r="L55" s="2">
        <v>45109</v>
      </c>
    </row>
    <row r="56" spans="1:12" x14ac:dyDescent="0.35">
      <c r="A56">
        <v>1055</v>
      </c>
      <c r="B56" t="s">
        <v>66</v>
      </c>
      <c r="C56" t="s">
        <v>71</v>
      </c>
      <c r="D56" t="s">
        <v>72</v>
      </c>
      <c r="E56" t="s">
        <v>77</v>
      </c>
      <c r="F56" t="s">
        <v>80</v>
      </c>
      <c r="G56" t="s">
        <v>86</v>
      </c>
      <c r="H56">
        <v>44</v>
      </c>
      <c r="I56" s="2">
        <v>40559</v>
      </c>
      <c r="J56">
        <v>84787.77</v>
      </c>
      <c r="K56" t="s">
        <v>87</v>
      </c>
      <c r="L56" s="2">
        <v>43632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Ethnicity</vt:lpstr>
      <vt:lpstr>Title</vt:lpstr>
      <vt:lpstr>department</vt:lpstr>
      <vt:lpstr>Visual</vt:lpstr>
      <vt:lpstr>Business unit</vt:lpstr>
      <vt:lpstr>Exit date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Sanjana</dc:creator>
  <cp:lastModifiedBy>DAIC</cp:lastModifiedBy>
  <dcterms:created xsi:type="dcterms:W3CDTF">2025-05-20T07:41:25Z</dcterms:created>
  <dcterms:modified xsi:type="dcterms:W3CDTF">2025-05-31T11:42:26Z</dcterms:modified>
</cp:coreProperties>
</file>